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drawings/drawing5.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paab159-my.sharepoint.com/personal/joakim_hasselblad_pm3_se1/Documents/Omvärldsbevakning/Statistik/Simple_Stats_for_UX_Projects/"/>
    </mc:Choice>
  </mc:AlternateContent>
  <xr:revisionPtr revIDLastSave="60" documentId="8_{F89A4F4C-7DED-4DBD-867F-34F907D8BD62}" xr6:coauthVersionLast="47" xr6:coauthVersionMax="47" xr10:uidLastSave="{03B557F0-83CC-4221-8DEC-938EEE02ACD9}"/>
  <bookViews>
    <workbookView xWindow="-110" yWindow="-110" windowWidth="19420" windowHeight="11500" xr2:uid="{00000000-000D-0000-FFFF-FFFF00000000}"/>
  </bookViews>
  <sheets>
    <sheet name="Översikt" sheetId="11" r:id="rId1"/>
    <sheet name="Beskrivande" sheetId="12" r:id="rId2"/>
    <sheet name="Centralmått" sheetId="3" r:id="rId3"/>
    <sheet name="Spridningsmått" sheetId="13" r:id="rId4"/>
    <sheet name="Pearson" sheetId="5" r:id="rId5"/>
    <sheet name="Spearman" sheetId="6" r:id="rId6"/>
    <sheet name="T-test" sheetId="7" r:id="rId7"/>
    <sheet name="Chi kvadrat" sheetId="8" r:id="rId8"/>
    <sheet name="Skillnader" sheetId="9" r:id="rId9"/>
    <sheet name="Samband" sheetId="10" r:id="rId10"/>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4" i="12" l="1"/>
  <c r="H11" i="13"/>
  <c r="C23" i="7"/>
  <c r="G8" i="9"/>
  <c r="F8" i="9"/>
  <c r="F13" i="10"/>
  <c r="F12" i="10"/>
  <c r="F10" i="10"/>
  <c r="B19" i="13"/>
  <c r="C15" i="13" s="1"/>
  <c r="D15" i="13" s="1"/>
  <c r="H17" i="13"/>
  <c r="H16" i="13"/>
  <c r="H15" i="13"/>
  <c r="H14" i="13"/>
  <c r="I23" i="12"/>
  <c r="I22" i="12"/>
  <c r="I14" i="12" a="1"/>
  <c r="I14" i="12" s="1"/>
  <c r="I11" i="12"/>
  <c r="I10" i="12"/>
  <c r="G9" i="9"/>
  <c r="F9" i="9"/>
  <c r="C21" i="7"/>
  <c r="C20" i="7"/>
  <c r="B21" i="7"/>
  <c r="B20" i="7"/>
  <c r="E9" i="6"/>
  <c r="F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F9" i="5"/>
  <c r="F19" i="5" s="1"/>
  <c r="F20" i="5" s="1"/>
  <c r="E13" i="3"/>
  <c r="E12" i="3"/>
  <c r="E11" i="3"/>
  <c r="B21" i="9"/>
  <c r="F12" i="9"/>
  <c r="G7" i="9"/>
  <c r="F7" i="9"/>
  <c r="C11" i="8"/>
  <c r="B11" i="8"/>
  <c r="D8" i="8" s="1"/>
  <c r="F14" i="9" l="1"/>
  <c r="F20" i="9" s="1"/>
  <c r="G14" i="9"/>
  <c r="G20" i="9" s="1"/>
  <c r="D13" i="8"/>
  <c r="D9" i="8"/>
  <c r="D11" i="8" s="1"/>
  <c r="C13" i="13"/>
  <c r="D13" i="13" s="1"/>
  <c r="C11" i="13"/>
  <c r="C14" i="13"/>
  <c r="D14" i="13" s="1"/>
  <c r="C16" i="13"/>
  <c r="D16" i="13" s="1"/>
  <c r="C12" i="13"/>
  <c r="D12" i="13" s="1"/>
  <c r="F19" i="9"/>
  <c r="G19" i="9"/>
  <c r="C18" i="13" l="1"/>
  <c r="D11" i="13"/>
  <c r="F15" i="9"/>
  <c r="G15" i="9"/>
  <c r="G18" i="9"/>
  <c r="F18" i="9"/>
  <c r="G22" i="9" l="1"/>
  <c r="D18" i="13"/>
  <c r="J15" i="13"/>
  <c r="J17" i="13" s="1"/>
  <c r="J14" i="13"/>
  <c r="J16" i="13" s="1"/>
  <c r="F22" i="9"/>
  <c r="I10" i="6"/>
  <c r="I20" i="6" s="1"/>
  <c r="I21" i="6" s="1"/>
  <c r="E2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tc={85A4C7AF-032E-40B7-8CF7-B9F9A5E96B60}</author>
  </authors>
  <commentList>
    <comment ref="G11" authorId="0" shapeId="0" xr:uid="{85A4C7AF-032E-40B7-8CF7-B9F9A5E96B60}">
      <text>
        <t>[Trådad kommentar]
I din version av Excel kan du läsa den här trådade kommentaren, men eventuella ändringar i den tas bort om filen öppnas i en senare version av Excel. Läs mer: https://go.microsoft.com/fwlink/?linkid=870924
Kommentar:
    Eller egentligen ”variationsvidd”. Högsta värdet minus lägsta värdet. (Formlerna är mer användbara när värdena inte är sorterade i stigande eller fallande ordning!)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tc={98135EBC-3AC4-4D67-8C55-B7726EF14024}</author>
    <author>tc={623BCB2F-7321-426B-AD49-7D462C8A3382}</author>
    <author>tc={1D25DD0D-62C2-451C-95B2-B2E849652367}</author>
    <author>tc={E929C7CF-F291-46AC-A526-0706D57FD565}</author>
    <author>tc={EC019975-BF5F-4D79-8752-387F4527746A}</author>
  </authors>
  <commentList>
    <comment ref="E11" authorId="0" shapeId="0" xr:uid="{98135EBC-3AC4-4D67-8C55-B7726EF14024}">
      <text>
        <t>[Trådad kommentar]
I din version av Excel kan du läsa den här trådade kommentaren, men eventuella ändringar i den tas bort om filen öppnas i en senare version av Excel. Läs mer: https://go.microsoft.com/fwlink/?linkid=870924
Kommentar:
    Vald konfidensnivå</t>
      </text>
    </comment>
    <comment ref="E12" authorId="1" shapeId="0" xr:uid="{623BCB2F-7321-426B-AD49-7D462C8A3382}">
      <text>
        <t>[Trådad kommentar]
I din version av Excel kan du läsa den här trådade kommentaren, men eventuella ändringar i den tas bort om filen öppnas i en senare version av Excel. Läs mer: https://go.microsoft.com/fwlink/?linkid=870924
Kommentar:
    Alfa är ett värde som används i funktionen som räknar ut felmarginalen, se nedan. Alfa beräknas som 1 minus den valda konfidensnivån.</t>
      </text>
    </comment>
    <comment ref="E15" authorId="2" shapeId="0" xr:uid="{1D25DD0D-62C2-451C-95B2-B2E849652367}">
      <text>
        <t>[Trådad kommentar]
I din version av Excel kan du läsa den här trådade kommentaren, men eventuella ändringar i den tas bort om filen öppnas i en senare version av Excel. Läs mer: https://go.microsoft.com/fwlink/?linkid=870924
Kommentar:
    Här avrundas både medelvärdet och felmarginalen till två decimaler.</t>
      </text>
    </comment>
    <comment ref="E18" authorId="3" shapeId="0" xr:uid="{E929C7CF-F291-46AC-A526-0706D57FD565}">
      <text>
        <t>[Trådad kommentar]
I din version av Excel kan du läsa den här trådade kommentaren, men eventuella ändringar i den tas bort om filen öppnas i en senare version av Excel. Läs mer: https://go.microsoft.com/fwlink/?linkid=870924
Kommentar:
    Konfidensintervallets undre gräns.</t>
      </text>
    </comment>
    <comment ref="E20" authorId="4" shapeId="0" xr:uid="{EC019975-BF5F-4D79-8752-387F4527746A}">
      <text>
        <t>[Trådad kommentar]
I din version av Excel kan du läsa den här trådade kommentaren, men eventuella ändringar i den tas bort om filen öppnas i en senare version av Excel. Läs mer: https://go.microsoft.com/fwlink/?linkid=870924
Kommentar:
    Konfidensintervallets övre gräns.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<sst xmlns="http://schemas.openxmlformats.org/spreadsheetml/2006/main" count="186" uniqueCount="123">
  <si>
    <t>Syntax:</t>
  </si>
  <si>
    <t>Account type</t>
  </si>
  <si>
    <t>Satisfaction</t>
  </si>
  <si>
    <t>People in social group</t>
  </si>
  <si>
    <t>Yes</t>
  </si>
  <si>
    <t>free</t>
  </si>
  <si>
    <t>Pet owner</t>
  </si>
  <si>
    <t>No</t>
  </si>
  <si>
    <t>paid</t>
  </si>
  <si>
    <t>premium</t>
  </si>
  <si>
    <t>Avg group size by account type</t>
  </si>
  <si>
    <t>Annual Salary</t>
  </si>
  <si>
    <t>Data</t>
  </si>
  <si>
    <t>Var P</t>
  </si>
  <si>
    <t>Var S</t>
  </si>
  <si>
    <t>SD P</t>
  </si>
  <si>
    <t>SD S</t>
  </si>
  <si>
    <t>Task time (mins)</t>
  </si>
  <si>
    <t>Months using product</t>
  </si>
  <si>
    <t>Rank Performance</t>
  </si>
  <si>
    <t>Rank Experience</t>
  </si>
  <si>
    <t>Key:</t>
  </si>
  <si>
    <t>1 = 1-5 months</t>
  </si>
  <si>
    <t>2 = 6-11 months</t>
  </si>
  <si>
    <t>3 = 12-17 months</t>
  </si>
  <si>
    <t>4 = 18-23 months</t>
  </si>
  <si>
    <t>5 = 24+ months</t>
  </si>
  <si>
    <t>T-test</t>
  </si>
  <si>
    <t>New interface</t>
  </si>
  <si>
    <t>Existing interface</t>
  </si>
  <si>
    <t>Mean</t>
  </si>
  <si>
    <t>Number of visitors</t>
  </si>
  <si>
    <t>Number of conversions</t>
  </si>
  <si>
    <t>OBSERVED</t>
  </si>
  <si>
    <t>EXPECTED</t>
  </si>
  <si>
    <t>Lower CI</t>
  </si>
  <si>
    <t>Upper CI</t>
  </si>
  <si>
    <t>Beskrivande statistik</t>
  </si>
  <si>
    <t>Centralmått - medelvärde, median, typvärde</t>
  </si>
  <si>
    <r>
      <rPr>
        <b/>
        <sz val="11"/>
        <color rgb="FFFF0000"/>
        <rFont val="Arial"/>
        <family val="2"/>
      </rPr>
      <t>Warning</t>
    </r>
    <r>
      <rPr>
        <sz val="11"/>
        <color rgb="FF000000"/>
        <rFont val="Arial"/>
        <family val="2"/>
      </rPr>
      <t>: Unlike some more complex stats packages, spreadsheets will often give you a result even if you didn't meet all of the conditions of the statistical test. Be very sure that you've followed the correct procedure before you use these results in important work.</t>
    </r>
  </si>
  <si>
    <t>=TYPVÄRDE()</t>
  </si>
  <si>
    <t>=MEDIAN()</t>
  </si>
  <si>
    <t>=MEDEL()</t>
  </si>
  <si>
    <t>Centralmått</t>
  </si>
  <si>
    <t>Spridningsmått</t>
  </si>
  <si>
    <t>Summa</t>
  </si>
  <si>
    <t>Medel</t>
  </si>
  <si>
    <t>Antal, frekvenser och att använda en observation för att bestämma värdet på en annan observation</t>
  </si>
  <si>
    <t>Tre olika sätt att beskriva ett genomsnittligt värde</t>
  </si>
  <si>
    <t>Median (mellersta värdet)</t>
  </si>
  <si>
    <t>Medelvärde (aritmetiskt medelvärde)</t>
  </si>
  <si>
    <t>Typvärde (oftast förekommande värde)</t>
  </si>
  <si>
    <t>Varians hos en hel population</t>
  </si>
  <si>
    <t>Varians hos ett urval</t>
  </si>
  <si>
    <t>Standardavvikelse hos en hel population</t>
  </si>
  <si>
    <t>Standardavvikelse hos ett urval</t>
  </si>
  <si>
    <t>Excelfunktion</t>
  </si>
  <si>
    <t>Manuell beräkning</t>
  </si>
  <si>
    <r>
      <rPr>
        <i/>
        <sz val="10"/>
        <color theme="1"/>
        <rFont val="Arial"/>
        <family val="2"/>
      </rPr>
      <t>r</t>
    </r>
    <r>
      <rPr>
        <sz val="10"/>
        <color theme="1"/>
        <rFont val="Arial"/>
        <family val="2"/>
      </rPr>
      <t xml:space="preserve"> =</t>
    </r>
  </si>
  <si>
    <r>
      <t>t</t>
    </r>
    <r>
      <rPr>
        <sz val="10"/>
        <color theme="1"/>
        <rFont val="Arial"/>
        <family val="2"/>
      </rPr>
      <t xml:space="preserve"> =</t>
    </r>
  </si>
  <si>
    <r>
      <t xml:space="preserve">Pearsons </t>
    </r>
    <r>
      <rPr>
        <b/>
        <i/>
        <sz val="12"/>
        <color theme="1"/>
        <rFont val="Arial"/>
        <family val="2"/>
      </rPr>
      <t>r (korrelationskoefficient)</t>
    </r>
  </si>
  <si>
    <t>Spearmans Rho - samband i kvalitativa data</t>
  </si>
  <si>
    <t>T-test - test för skillnader i kvantitativa data</t>
  </si>
  <si>
    <t>Chi kvadrat - test för skillnader i kvalitativa data</t>
  </si>
  <si>
    <t>Vidd</t>
  </si>
  <si>
    <t>Pearsons r - samband i kvantitativa data</t>
  </si>
  <si>
    <t xml:space="preserve">Chi kvadrat (Chi Square) </t>
  </si>
  <si>
    <t>=SKÄRNINGSPUNKT(y-data; x-data)</t>
  </si>
  <si>
    <t>=LUTNING(y-data; x-data)</t>
  </si>
  <si>
    <t>Skärningspunkt</t>
  </si>
  <si>
    <t>Lutning</t>
  </si>
  <si>
    <t>Samband</t>
  </si>
  <si>
    <t>Testar om skillnader i kvalitativa data är statistiskt signifikanta</t>
  </si>
  <si>
    <t>Testar om skillnader i kvantitativa data är statistiskt signifikanta</t>
  </si>
  <si>
    <t>Spridningsmått - variationsvidd, varians och standardavvikelse</t>
  </si>
  <si>
    <r>
      <t xml:space="preserve">Baserad på kursen </t>
    </r>
    <r>
      <rPr>
        <b/>
        <sz val="10"/>
        <color theme="1"/>
        <rFont val="Arial"/>
      </rPr>
      <t>Simple Statistics for User Experience Projects</t>
    </r>
    <r>
      <rPr>
        <sz val="10"/>
        <color theme="1"/>
        <rFont val="Arial"/>
      </rPr>
      <t xml:space="preserve"> av Chris Nodder
(LinkedIn Learning)</t>
    </r>
  </si>
  <si>
    <t>Extremvärden har större påverkan på medelvärdet än på medianen.</t>
  </si>
  <si>
    <t>p =</t>
  </si>
  <si>
    <t>P-värden för korrelationskoefficienter ("sannolikheten att korrelationen mellan de två variablerna är noll") är inte lätta att beräkna. Du måste först konvertera korrelationskoefficienten till ett t-värde och sedan hitta p-värdet för det t-värdet.</t>
  </si>
  <si>
    <t>Months using product (by category)</t>
  </si>
  <si>
    <t xml:space="preserve">T-test p = </t>
  </si>
  <si>
    <r>
      <t xml:space="preserve">"Sannolikheten att det </t>
    </r>
    <r>
      <rPr>
        <sz val="10"/>
        <color theme="1"/>
        <rFont val="Arial"/>
        <family val="2"/>
      </rPr>
      <t>inte</t>
    </r>
    <r>
      <rPr>
        <i/>
        <sz val="10"/>
        <color theme="1"/>
        <rFont val="Arial"/>
        <family val="2"/>
      </rPr>
      <t xml:space="preserve"> skulle finnas en skillnad mellan användarna av det gamla och det nya gränssnittet när det gäller den egenskap som har mätts är 0,25 %."</t>
    </r>
  </si>
  <si>
    <r>
      <t xml:space="preserve">"Sannolikheten att det </t>
    </r>
    <r>
      <rPr>
        <sz val="10"/>
        <color theme="1"/>
        <rFont val="Arial"/>
        <family val="2"/>
      </rPr>
      <t>inte</t>
    </r>
    <r>
      <rPr>
        <i/>
        <sz val="10"/>
        <color theme="1"/>
        <rFont val="Arial"/>
        <family val="2"/>
      </rPr>
      <t xml:space="preserve"> skulle finnas en skillnad mellan hur många konverteringar det gamla respektive det nya gränssnittet genererar är 2,2 %."</t>
    </r>
  </si>
  <si>
    <t>"Vi kan vara mer än 97,5 % säkra att det nya gränssnittet faktiskt genererar fler konverteringar än det gamla gränssnittet."</t>
  </si>
  <si>
    <t>Översikt Statistik för användarupplevelseprojekt</t>
  </si>
  <si>
    <t>Jämförelse skillnader - att visa konfidensintervall</t>
  </si>
  <si>
    <t>Att jämföra konfidensintervallen för två olika medelvärden</t>
  </si>
  <si>
    <r>
      <rPr>
        <i/>
        <sz val="10"/>
        <color rgb="FF000000"/>
        <rFont val="Arial"/>
        <family val="2"/>
      </rPr>
      <t>Kvalititativ data</t>
    </r>
    <r>
      <rPr>
        <sz val="10"/>
        <color rgb="FF000000"/>
        <rFont val="Arial"/>
      </rPr>
      <t xml:space="preserve"> avser variabler på skalnivåerna nominal- respektive ordinalskala och </t>
    </r>
    <r>
      <rPr>
        <i/>
        <sz val="10"/>
        <color rgb="FF000000"/>
        <rFont val="Arial"/>
        <family val="2"/>
      </rPr>
      <t>kvantitativ data</t>
    </r>
    <r>
      <rPr>
        <sz val="10"/>
        <color rgb="FF000000"/>
        <rFont val="Arial"/>
      </rPr>
      <t xml:space="preserve"> variabler på skalnivåerna intervall- respektive kvotskala.</t>
    </r>
  </si>
  <si>
    <r>
      <rPr>
        <i/>
        <sz val="10"/>
        <color theme="1"/>
        <rFont val="Arial"/>
        <family val="2"/>
      </rPr>
      <t>rho</t>
    </r>
    <r>
      <rPr>
        <sz val="10"/>
        <color theme="1"/>
        <rFont val="Arial"/>
        <family val="2"/>
      </rPr>
      <t xml:space="preserve"> =</t>
    </r>
  </si>
  <si>
    <r>
      <t xml:space="preserve">Spearmans </t>
    </r>
    <r>
      <rPr>
        <b/>
        <i/>
        <sz val="12"/>
        <color theme="1"/>
        <rFont val="Arial"/>
        <family val="2"/>
      </rPr>
      <t>rho</t>
    </r>
  </si>
  <si>
    <t>Jämföra skillnader</t>
  </si>
  <si>
    <t>Mäter styrkan och riktningen hos ett linjärt samband mellan två kvantitativa variabler</t>
  </si>
  <si>
    <t>(antal observationer i varje kategori)</t>
  </si>
  <si>
    <t>(antal observationer per värde)</t>
  </si>
  <si>
    <t>Standardavvikelse</t>
  </si>
  <si>
    <t>Urvalets storlek (n)</t>
  </si>
  <si>
    <t>Konfidensnivå</t>
  </si>
  <si>
    <t>Felmarginal</t>
  </si>
  <si>
    <t>Konfidensintervall</t>
  </si>
  <si>
    <t>Alfa</t>
  </si>
  <si>
    <t>=KONFIDENS.T(alfa; standardavvikelse; antal observationer)</t>
  </si>
  <si>
    <t>=CHI2TEST(observerade värden; förväntade värden)</t>
  </si>
  <si>
    <t>=T.TEST(matris 1; matris 2; sidor (tails); typ)</t>
  </si>
  <si>
    <t>=KORREL(matris 1; matris 2)</t>
  </si>
  <si>
    <t>=VARIANSP(matris)</t>
  </si>
  <si>
    <t>=VARIANS.S(matris)</t>
  </si>
  <si>
    <t>=STDAV.P(matris)</t>
  </si>
  <si>
    <t>=STDAV.S(matris)</t>
  </si>
  <si>
    <t>=FREKVENS() funkar endast med numeriska värden</t>
  </si>
  <si>
    <t>=MEDEL.OM(område; villkor; medelområde)</t>
  </si>
  <si>
    <t>=FREKVENS(datamatris; fackmatris)</t>
  </si>
  <si>
    <t>=ANTAL.OM(område; villkor)</t>
  </si>
  <si>
    <t>minus medelvärde</t>
  </si>
  <si>
    <t>i kvadrat</t>
  </si>
  <si>
    <t>Att bekriva variationen i en variabel</t>
  </si>
  <si>
    <t>Rangkorrelation; test av samband mellan kvalitativa variabler (eller ej normalfördelade kvantitativa variabler)</t>
  </si>
  <si>
    <t>=KORREL() används efter att omfången konverterats till rangordningar med =RANG.MED(), se kolumnerna E och F</t>
  </si>
  <si>
    <t>Total</t>
  </si>
  <si>
    <r>
      <t>Chi Square p</t>
    </r>
    <r>
      <rPr>
        <b/>
        <i/>
        <sz val="10"/>
        <color theme="1"/>
        <rFont val="Arial"/>
        <family val="2"/>
      </rPr>
      <t xml:space="preserve"> </t>
    </r>
    <r>
      <rPr>
        <b/>
        <sz val="10"/>
        <color theme="1"/>
        <rFont val="Arial"/>
        <family val="2"/>
      </rPr>
      <t>=</t>
    </r>
  </si>
  <si>
    <t>Om intervallen inte överlappar är skillnaden statistiskt signifikant vid den valda konfidensnivån, dvs. vi kan anta att det faktiskt finns en skillnad i den större populationen. Jfr t-test p.</t>
  </si>
  <si>
    <t>Att beräkna skärningspunkt och lutning för korrelerad data (trendlinje)</t>
  </si>
  <si>
    <t>Samband - att visa korrelation</t>
  </si>
  <si>
    <t>=RANG.MED(tal;referens;[ordning])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</si>
</sst>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m\-d"/>
    <numFmt numFmtId="167" formatCode="0.000"/>
    <numFmt numFmtId="168" formatCode="0.0%"/>
  </numFmts>
  <fonts count="23" x14ac:knownFonts="1">
    <font>
      <sz val="10"/>
      <color rgb="FF000000"/>
      <name val="Arial"/>
    </font>
    <font>
      <sz val="10"/>
      <color theme="1"/>
      <name val="Arial"/>
    </font>
    <font>
      <sz val="18"/>
      <color theme="1"/>
      <name val="Arial"/>
    </font>
    <font>
      <b/>
      <sz val="10"/>
      <color theme="1"/>
      <name val="Arial"/>
    </font>
    <font>
      <sz val="10"/>
      <color theme="1"/>
      <name val="Arial"/>
      <family val="2"/>
    </font>
    <font>
      <b/>
      <sz val="10"/>
      <color rgb="FF000000"/>
      <name val="Arial"/>
      <family val="2"/>
    </font>
    <font>
      <b/>
      <sz val="12"/>
      <color rgb="FF000000"/>
      <name val="Arial"/>
      <family val="2"/>
    </font>
    <font>
      <sz val="10"/>
      <color rgb="FF000000"/>
      <name val="Arial"/>
      <family val="2"/>
    </font>
    <font>
      <sz val="11"/>
      <color rgb="FF000000"/>
      <name val="Arial"/>
      <family val="2"/>
    </font>
    <font>
      <b/>
      <sz val="11"/>
      <color rgb="FFFF0000"/>
      <name val="Arial"/>
      <family val="2"/>
    </font>
    <font>
      <b/>
      <sz val="12"/>
      <color theme="1"/>
      <name val="Arial"/>
      <family val="2"/>
    </font>
    <font>
      <sz val="12"/>
      <color rgb="FF000000"/>
      <name val="Arial"/>
      <family val="2"/>
    </font>
    <font>
      <b/>
      <sz val="10"/>
      <color theme="1"/>
      <name val="Arial"/>
      <family val="2"/>
    </font>
    <font>
      <b/>
      <sz val="18"/>
      <color theme="1"/>
      <name val="Arial"/>
      <family val="2"/>
    </font>
    <font>
      <b/>
      <i/>
      <sz val="12"/>
      <color theme="1"/>
      <name val="Arial"/>
      <family val="2"/>
    </font>
    <font>
      <i/>
      <sz val="10"/>
      <color theme="1"/>
      <name val="Arial"/>
      <family val="2"/>
    </font>
    <font>
      <sz val="10"/>
      <name val="Arial"/>
      <family val="2"/>
    </font>
    <font>
      <i/>
      <sz val="10"/>
      <color rgb="FF000000"/>
      <name val="Arial"/>
      <family val="2"/>
    </font>
    <font>
      <u/>
      <sz val="10"/>
      <color theme="10"/>
      <name val="Arial"/>
      <family val="2"/>
    </font>
    <font>
      <i/>
      <sz val="10"/>
      <name val="Arial"/>
      <family val="2"/>
    </font>
    <font>
      <sz val="10"/>
      <color rgb="FF000000"/>
      <name val="Arial"/>
    </font>
    <font>
      <sz val="10"/>
      <color theme="0"/>
      <name val="Arial"/>
      <family val="2"/>
    </font>
    <font>
      <b/>
      <i/>
      <sz val="10"/>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0" fontId="18" fillId="0" borderId="0" applyNumberFormat="0" applyFill="0" applyBorder="0" applyAlignment="0" applyProtection="0"/>
    <xf numFmtId="9" fontId="20" fillId="0" borderId="0" applyFont="0" applyFill="0" applyBorder="0" applyAlignment="0" applyProtection="0"/>
  </cellStyleXfs>
  <cellXfs count="62">
    <xf numFmtId="0" fontId="0" fillId="0" borderId="0" xfId="0"/>
    <xf numFmtId="0" fontId="2" fillId="0" borderId="0" xfId="0" applyFont="1"/>
    <xf numFmtId="0" fontId="1" fillId="0" borderId="0" xfId="0" applyFont="1" applyAlignment="1">
      <alignment horizontal="right"/>
    </xf>
    <xf numFmtId="0" fontId="1" fillId="0" borderId="0" xfId="0" applyFont="1"/>
    <xf numFmtId="0" fontId="2" fillId="0" borderId="0" xfId="0" applyFont="1" applyAlignment="1">
      <alignment horizontal="center"/>
    </xf>
    <xf numFmtId="0" fontId="5" fillId="0" borderId="0" xfId="0" applyFont="1"/>
    <xf numFmtId="0" fontId="6" fillId="0" borderId="0" xfId="0" applyFont="1"/>
    <xf numFmtId="0" fontId="10" fillId="0" borderId="0" xfId="0" applyFont="1"/>
    <xf numFmtId="0" fontId="11" fillId="0" borderId="0" xfId="0" applyFont="1"/>
    <xf numFmtId="0" fontId="5" fillId="0" borderId="0" xfId="0" quotePrefix="1" applyFont="1"/>
    <xf numFmtId="0" fontId="12" fillId="0" borderId="0" xfId="0" applyFont="1"/>
    <xf numFmtId="0" fontId="4" fillId="0" borderId="0" xfId="0" applyFont="1"/>
    <xf numFmtId="0" fontId="7" fillId="0" borderId="0" xfId="0" applyFont="1"/>
    <xf numFmtId="10" fontId="4" fillId="0" borderId="0" xfId="0" applyNumberFormat="1" applyFont="1"/>
    <xf numFmtId="164" fontId="4" fillId="0" borderId="0" xfId="0" applyNumberFormat="1" applyFont="1" applyAlignment="1">
      <alignment horizontal="right"/>
    </xf>
    <xf numFmtId="3" fontId="4" fillId="0" borderId="0" xfId="0" applyNumberFormat="1" applyFont="1"/>
    <xf numFmtId="0" fontId="5" fillId="0" borderId="0" xfId="0" applyFont="1" applyAlignment="1">
      <alignment horizontal="left"/>
    </xf>
    <xf numFmtId="0" fontId="12" fillId="0" borderId="0" xfId="0" applyFont="1" applyAlignment="1">
      <alignment horizontal="left"/>
    </xf>
    <xf numFmtId="0" fontId="13" fillId="0" borderId="0" xfId="0" applyFont="1" applyAlignment="1">
      <alignment horizontal="left"/>
    </xf>
    <xf numFmtId="0" fontId="12" fillId="0" borderId="0" xfId="0" quotePrefix="1" applyFont="1"/>
    <xf numFmtId="0" fontId="4" fillId="0" borderId="0" xfId="0" applyFont="1" applyAlignment="1">
      <alignment horizontal="center"/>
    </xf>
    <xf numFmtId="0" fontId="4" fillId="0" borderId="0" xfId="0" applyFont="1" applyAlignment="1">
      <alignment horizontal="right"/>
    </xf>
    <xf numFmtId="0" fontId="0" fillId="0" borderId="0" xfId="0" applyAlignment="1">
      <alignment horizontal="center"/>
    </xf>
    <xf numFmtId="0" fontId="7" fillId="0" borderId="0" xfId="0" applyFont="1" applyAlignment="1">
      <alignment horizontal="center"/>
    </xf>
    <xf numFmtId="164" fontId="4" fillId="0" borderId="0" xfId="0" applyNumberFormat="1" applyFont="1" applyAlignment="1">
      <alignment horizontal="center"/>
    </xf>
    <xf numFmtId="0" fontId="12" fillId="0" borderId="0" xfId="0" applyFont="1" applyAlignment="1">
      <alignment horizontal="right"/>
    </xf>
    <xf numFmtId="0" fontId="12" fillId="0" borderId="0" xfId="0" applyFont="1" applyAlignment="1">
      <alignment horizontal="center"/>
    </xf>
    <xf numFmtId="0" fontId="12" fillId="0" borderId="0" xfId="0" quotePrefix="1" applyFont="1" applyAlignment="1">
      <alignment horizontal="center"/>
    </xf>
    <xf numFmtId="0" fontId="4" fillId="0" borderId="0" xfId="0" applyFont="1" applyAlignment="1">
      <alignment horizontal="left"/>
    </xf>
    <xf numFmtId="165" fontId="4" fillId="0" borderId="0" xfId="0" applyNumberFormat="1" applyFont="1"/>
    <xf numFmtId="0" fontId="7" fillId="0" borderId="0" xfId="0" applyFont="1" applyAlignment="1">
      <alignment horizontal="left" vertical="top" wrapText="1"/>
    </xf>
    <xf numFmtId="0" fontId="15" fillId="0" borderId="0" xfId="0" applyFont="1" applyAlignment="1">
      <alignment horizontal="right"/>
    </xf>
    <xf numFmtId="0" fontId="4" fillId="0" borderId="0" xfId="0" applyFont="1" applyAlignment="1">
      <alignment vertical="top" wrapText="1"/>
    </xf>
    <xf numFmtId="166" fontId="4" fillId="0" borderId="0" xfId="0" applyNumberFormat="1" applyFont="1" applyAlignment="1">
      <alignment horizontal="center"/>
    </xf>
    <xf numFmtId="0" fontId="16" fillId="0" borderId="0" xfId="0" applyFont="1"/>
    <xf numFmtId="0" fontId="12" fillId="0" borderId="0" xfId="0" applyFont="1" applyAlignment="1">
      <alignment wrapText="1"/>
    </xf>
    <xf numFmtId="0" fontId="18" fillId="0" borderId="0" xfId="1"/>
    <xf numFmtId="167" fontId="4" fillId="0" borderId="0" xfId="0" applyNumberFormat="1" applyFont="1" applyAlignment="1">
      <alignment horizontal="right"/>
    </xf>
    <xf numFmtId="164" fontId="15" fillId="0" borderId="0" xfId="0" applyNumberFormat="1" applyFont="1" applyAlignment="1">
      <alignment horizontal="right"/>
    </xf>
    <xf numFmtId="165" fontId="4" fillId="0" borderId="0" xfId="0" applyNumberFormat="1" applyFont="1" applyAlignment="1">
      <alignment horizontal="right"/>
    </xf>
    <xf numFmtId="4" fontId="4" fillId="0" borderId="0" xfId="0" applyNumberFormat="1" applyFont="1" applyAlignment="1">
      <alignment horizontal="right"/>
    </xf>
    <xf numFmtId="0" fontId="15" fillId="0" borderId="0" xfId="0" applyFont="1"/>
    <xf numFmtId="0" fontId="15" fillId="0" borderId="0" xfId="0" applyFont="1" applyAlignment="1">
      <alignment horizontal="left"/>
    </xf>
    <xf numFmtId="165" fontId="4" fillId="2" borderId="0" xfId="0" applyNumberFormat="1" applyFont="1" applyFill="1"/>
    <xf numFmtId="0" fontId="15" fillId="2" borderId="0" xfId="0" applyFont="1" applyFill="1" applyAlignment="1">
      <alignment wrapText="1"/>
    </xf>
    <xf numFmtId="165" fontId="4" fillId="2" borderId="0" xfId="0" applyNumberFormat="1" applyFont="1" applyFill="1" applyAlignment="1">
      <alignment horizontal="right"/>
    </xf>
    <xf numFmtId="168" fontId="7" fillId="0" borderId="0" xfId="2" applyNumberFormat="1" applyFont="1"/>
    <xf numFmtId="0" fontId="17" fillId="2" borderId="0" xfId="0" applyFont="1" applyFill="1" applyAlignment="1">
      <alignment wrapText="1"/>
    </xf>
    <xf numFmtId="0" fontId="15" fillId="0" borderId="0" xfId="0" applyFont="1" applyAlignment="1">
      <alignment horizontal="right" wrapText="1"/>
    </xf>
    <xf numFmtId="0" fontId="21" fillId="0" borderId="0" xfId="0" applyFont="1"/>
    <xf numFmtId="2" fontId="7" fillId="0" borderId="0" xfId="0" applyNumberFormat="1" applyFont="1"/>
    <xf numFmtId="0" fontId="5" fillId="0" borderId="0" xfId="0" applyFont="1" applyAlignment="1">
      <alignment horizontal="right"/>
    </xf>
    <xf numFmtId="10" fontId="15" fillId="0" borderId="0" xfId="0" quotePrefix="1" applyNumberFormat="1" applyFont="1"/>
    <xf numFmtId="0" fontId="15" fillId="0" borderId="0" xfId="0" applyFont="1" applyAlignment="1">
      <alignment wrapText="1"/>
    </xf>
    <xf numFmtId="165" fontId="4" fillId="0" borderId="0" xfId="0" applyNumberFormat="1" applyFont="1" applyAlignment="1">
      <alignment wrapText="1"/>
    </xf>
    <xf numFmtId="0" fontId="19" fillId="0" borderId="0" xfId="0" quotePrefix="1" applyFont="1"/>
    <xf numFmtId="0" fontId="8" fillId="0" borderId="0" xfId="0" applyFont="1" applyAlignment="1">
      <alignment horizontal="left" vertical="top" wrapText="1"/>
    </xf>
    <xf numFmtId="0" fontId="4" fillId="0" borderId="0" xfId="0" applyFont="1" applyAlignment="1">
      <alignment horizontal="left" wrapText="1"/>
    </xf>
    <xf numFmtId="0" fontId="4" fillId="0" borderId="0" xfId="0" applyFont="1" applyAlignment="1">
      <alignment vertical="top" wrapText="1"/>
    </xf>
    <xf numFmtId="0" fontId="7" fillId="0" borderId="0" xfId="0" applyFont="1"/>
    <xf numFmtId="0" fontId="12" fillId="0" borderId="0" xfId="0" applyFont="1" applyAlignment="1">
      <alignment horizontal="center"/>
    </xf>
    <xf numFmtId="0" fontId="5" fillId="0" borderId="0" xfId="0" applyFont="1"/>
  </cellXfs>
  <cellStyles count="3">
    <cellStyle name="Hyperlänk" xfId="1" builtinId="8"/>
    <cellStyle name="Normal" xfId="0" builtinId="0"/>
    <cellStyle name="Procent" xfId="2" builtinId="5"/>
  </cellStyles>
  <dxfs count="2">
    <dxf>
      <fill>
        <patternFill>
          <bgColor theme="7" tint="0.79998168889431442"/>
        </patternFill>
      </fill>
    </dxf>
    <dxf>
      <fill>
        <patternFill>
          <bgColor them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1"/>
  <c:style val="2"/>
  <c:chart>
    <c:autoTitleDeleted val="1"/>
    <c:plotArea>
      <c:layout/>
      <c:stockChart>
        <c:ser>
          <c:idx val="0"/>
          <c:order val="0"/>
          <c:spPr>
            <a:ln cmpd="sng">
              <a:noFill/>
            </a:ln>
          </c:spPr>
          <c:marker>
            <c:symbol val="none"/>
          </c:marker>
          <c:cat>
            <c:strRef>
              <c:f>Skillnader!$F$17:$G$17</c:f>
              <c:strCache>
                <c:ptCount val="2"/>
                <c:pt idx="0">
                  <c:v>New interface</c:v>
                </c:pt>
                <c:pt idx="1">
                  <c:v>Existing interface</c:v>
                </c:pt>
              </c:strCache>
            </c:strRef>
          </c:cat>
          <c:val>
            <c:numRef>
              <c:f>Skillnader!$F$19:$G$19</c:f>
              <c:numCache>
                <c:formatCode>#,##0.00</c:formatCode>
                <c:ptCount val="2"/>
                <c:pt idx="0">
                  <c:v>4.2249999999999996</c:v>
                </c:pt>
                <c:pt idx="1">
                  <c:v>5.1416666666666666</c:v>
                </c:pt>
              </c:numCache>
            </c:numRef>
          </c:val>
          <c:smooth val="0"/>
          <c:extLst>
            <c:ext xmlns:c16="http://schemas.microsoft.com/office/drawing/2014/chart" uri="{C3380CC4-5D6E-409C-BE32-E72D297353CC}">
              <c16:uniqueId val="{00000000-FA6C-471B-84AF-66FF20D3CB3D}"/>
            </c:ext>
          </c:extLst>
        </c:ser>
        <c:ser>
          <c:idx val="1"/>
          <c:order val="1"/>
          <c:spPr>
            <a:ln cmpd="sng">
              <a:noFill/>
            </a:ln>
          </c:spPr>
          <c:marker>
            <c:symbol val="none"/>
          </c:marker>
          <c:cat>
            <c:strRef>
              <c:f>Skillnader!$F$17:$G$17</c:f>
              <c:strCache>
                <c:ptCount val="2"/>
                <c:pt idx="0">
                  <c:v>New interface</c:v>
                </c:pt>
                <c:pt idx="1">
                  <c:v>Existing interface</c:v>
                </c:pt>
              </c:strCache>
            </c:strRef>
          </c:cat>
          <c:val>
            <c:numRef>
              <c:f>Skillnader!$F$20:$G$20</c:f>
              <c:numCache>
                <c:formatCode>#,##0.00</c:formatCode>
                <c:ptCount val="2"/>
                <c:pt idx="0">
                  <c:v>4.6430686895489837</c:v>
                </c:pt>
                <c:pt idx="1">
                  <c:v>5.5600278653922803</c:v>
                </c:pt>
              </c:numCache>
            </c:numRef>
          </c:val>
          <c:smooth val="0"/>
          <c:extLst>
            <c:ext xmlns:c16="http://schemas.microsoft.com/office/drawing/2014/chart" uri="{C3380CC4-5D6E-409C-BE32-E72D297353CC}">
              <c16:uniqueId val="{00000001-FA6C-471B-84AF-66FF20D3CB3D}"/>
            </c:ext>
          </c:extLst>
        </c:ser>
        <c:ser>
          <c:idx val="2"/>
          <c:order val="2"/>
          <c:spPr>
            <a:ln cmpd="sng">
              <a:noFill/>
            </a:ln>
          </c:spPr>
          <c:marker>
            <c:symbol val="none"/>
          </c:marker>
          <c:cat>
            <c:strRef>
              <c:f>Skillnader!$F$17:$G$17</c:f>
              <c:strCache>
                <c:ptCount val="2"/>
                <c:pt idx="0">
                  <c:v>New interface</c:v>
                </c:pt>
                <c:pt idx="1">
                  <c:v>Existing interface</c:v>
                </c:pt>
              </c:strCache>
            </c:strRef>
          </c:cat>
          <c:val>
            <c:numRef>
              <c:f>Skillnader!$F$18:$G$18</c:f>
              <c:numCache>
                <c:formatCode>#,##0.00</c:formatCode>
                <c:ptCount val="2"/>
                <c:pt idx="0">
                  <c:v>3.8069313104510156</c:v>
                </c:pt>
                <c:pt idx="1">
                  <c:v>4.7233054679410529</c:v>
                </c:pt>
              </c:numCache>
            </c:numRef>
          </c:val>
          <c:smooth val="0"/>
          <c:extLst>
            <c:ext xmlns:c16="http://schemas.microsoft.com/office/drawing/2014/chart" uri="{C3380CC4-5D6E-409C-BE32-E72D297353CC}">
              <c16:uniqueId val="{00000002-FA6C-471B-84AF-66FF20D3CB3D}"/>
            </c:ext>
          </c:extLst>
        </c:ser>
        <c:ser>
          <c:idx val="3"/>
          <c:order val="3"/>
          <c:spPr>
            <a:ln cmpd="sng">
              <a:noFill/>
            </a:ln>
          </c:spPr>
          <c:marker>
            <c:symbol val="none"/>
          </c:marker>
          <c:cat>
            <c:strRef>
              <c:f>Skillnader!$F$17:$G$17</c:f>
              <c:strCache>
                <c:ptCount val="2"/>
                <c:pt idx="0">
                  <c:v>New interface</c:v>
                </c:pt>
                <c:pt idx="1">
                  <c:v>Existing interface</c:v>
                </c:pt>
              </c:strCache>
            </c:strRef>
          </c:cat>
          <c:val>
            <c:numRef>
              <c:f>Skillnader!$F$19:$G$19</c:f>
              <c:numCache>
                <c:formatCode>#,##0.00</c:formatCode>
                <c:ptCount val="2"/>
                <c:pt idx="0">
                  <c:v>4.2249999999999996</c:v>
                </c:pt>
                <c:pt idx="1">
                  <c:v>5.1416666666666666</c:v>
                </c:pt>
              </c:numCache>
            </c:numRef>
          </c:val>
          <c:smooth val="0"/>
          <c:extLst>
            <c:ext xmlns:c16="http://schemas.microsoft.com/office/drawing/2014/chart" uri="{C3380CC4-5D6E-409C-BE32-E72D297353CC}">
              <c16:uniqueId val="{00000003-FA6C-471B-84AF-66FF20D3CB3D}"/>
            </c:ext>
          </c:extLst>
        </c:ser>
        <c:dLbls>
          <c:showLegendKey val="0"/>
          <c:showVal val="0"/>
          <c:showCatName val="0"/>
          <c:showSerName val="0"/>
          <c:showPercent val="0"/>
          <c:showBubbleSize val="0"/>
        </c:dLbls>
        <c:hiLowLines/>
        <c:upDownBars>
          <c:gapWidth val="150"/>
          <c:upBars>
            <c:spPr>
              <a:solidFill>
                <a:schemeClr val="accent1"/>
              </a:solidFill>
              <a:ln w="19050" cmpd="sng">
                <a:solidFill>
                  <a:schemeClr val="accent1"/>
                </a:solidFill>
              </a:ln>
            </c:spPr>
          </c:upBars>
          <c:downBars>
            <c:spPr>
              <a:solidFill>
                <a:srgbClr val="FFFFFF"/>
              </a:solidFill>
              <a:ln w="19050" cmpd="sng">
                <a:solidFill>
                  <a:schemeClr val="accent1"/>
                </a:solidFill>
              </a:ln>
            </c:spPr>
          </c:downBars>
        </c:upDownBars>
        <c:axId val="125763021"/>
        <c:axId val="1835981224"/>
      </c:stockChart>
      <c:catAx>
        <c:axId val="125763021"/>
        <c:scaling>
          <c:orientation val="minMax"/>
        </c:scaling>
        <c:delete val="1"/>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crossAx val="1835981224"/>
        <c:crosses val="autoZero"/>
        <c:auto val="1"/>
        <c:lblAlgn val="ctr"/>
        <c:lblOffset val="100"/>
        <c:noMultiLvlLbl val="1"/>
      </c:catAx>
      <c:valAx>
        <c:axId val="1835981224"/>
        <c:scaling>
          <c:orientation val="minMax"/>
          <c:min val="3.5"/>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sv-SE"/>
          </a:p>
        </c:txPr>
        <c:crossAx val="125763021"/>
        <c:crosses val="autoZero"/>
        <c:crossBetween val="between"/>
      </c:valAx>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a:t>
            </a:r>
            <a:r>
              <a:rPr lang="en-US" baseline="0"/>
              <a:t> effect of experience on task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Samband!$C$8</c:f>
              <c:strCache>
                <c:ptCount val="1"/>
                <c:pt idx="0">
                  <c:v>Task time (mins)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Samband!$B$9:$B$24</c:f>
              <c:numCache>
                <c:formatCode>General</c:formatCode>
                <c:ptCount val="16"/>
                <c:pt idx="0">
                  <c:v>19</c:v>
                </c:pt>
                <c:pt idx="1">
                  <c:v>14</c:v>
                </c:pt>
                <c:pt idx="2">
                  <c:v>17</c:v>
                </c:pt>
                <c:pt idx="3">
                  <c:v>9</c:v>
                </c:pt>
                <c:pt idx="4">
                  <c:v>12</c:v>
                </c:pt>
                <c:pt idx="5">
                  <c:v>28</c:v>
                </c:pt>
                <c:pt idx="6">
                  <c:v>21</c:v>
                </c:pt>
                <c:pt idx="7">
                  <c:v>4</c:v>
                </c:pt>
                <c:pt idx="8">
                  <c:v>5</c:v>
                </c:pt>
                <c:pt idx="9">
                  <c:v>17</c:v>
                </c:pt>
                <c:pt idx="10">
                  <c:v>19</c:v>
                </c:pt>
                <c:pt idx="11">
                  <c:v>10</c:v>
                </c:pt>
                <c:pt idx="12">
                  <c:v>16</c:v>
                </c:pt>
                <c:pt idx="13">
                  <c:v>17</c:v>
                </c:pt>
                <c:pt idx="14">
                  <c:v>13</c:v>
                </c:pt>
                <c:pt idx="15">
                  <c:v>3</c:v>
                </c:pt>
              </c:numCache>
            </c:numRef>
          </c:xVal>
          <c:yVal>
            <c:numRef>
              <c:f>Samband!$C$9:$C$24</c:f>
              <c:numCache>
                <c:formatCode>General</c:formatCode>
                <c:ptCount val="16"/>
                <c:pt idx="0">
                  <c:v>5.2</c:v>
                </c:pt>
                <c:pt idx="1">
                  <c:v>3.4</c:v>
                </c:pt>
                <c:pt idx="2">
                  <c:v>6.1</c:v>
                </c:pt>
                <c:pt idx="3">
                  <c:v>5</c:v>
                </c:pt>
                <c:pt idx="4">
                  <c:v>4.2</c:v>
                </c:pt>
                <c:pt idx="5">
                  <c:v>2.5</c:v>
                </c:pt>
                <c:pt idx="6">
                  <c:v>3.2</c:v>
                </c:pt>
                <c:pt idx="7">
                  <c:v>6.8</c:v>
                </c:pt>
                <c:pt idx="8">
                  <c:v>8.1</c:v>
                </c:pt>
                <c:pt idx="9">
                  <c:v>2.8</c:v>
                </c:pt>
                <c:pt idx="10">
                  <c:v>3.4</c:v>
                </c:pt>
                <c:pt idx="11">
                  <c:v>6.3</c:v>
                </c:pt>
                <c:pt idx="12">
                  <c:v>4.0999999999999996</c:v>
                </c:pt>
                <c:pt idx="13">
                  <c:v>3.1</c:v>
                </c:pt>
                <c:pt idx="14">
                  <c:v>4.9000000000000004</c:v>
                </c:pt>
                <c:pt idx="15">
                  <c:v>7.2</c:v>
                </c:pt>
              </c:numCache>
            </c:numRef>
          </c:yVal>
          <c:smooth val="0"/>
          <c:extLst>
            <c:ext xmlns:c16="http://schemas.microsoft.com/office/drawing/2014/chart" uri="{C3380CC4-5D6E-409C-BE32-E72D297353CC}">
              <c16:uniqueId val="{00000000-1100-48C9-8B15-7734D8717EF3}"/>
            </c:ext>
          </c:extLst>
        </c:ser>
        <c:dLbls>
          <c:showLegendKey val="0"/>
          <c:showVal val="0"/>
          <c:showCatName val="0"/>
          <c:showSerName val="0"/>
          <c:showPercent val="0"/>
          <c:showBubbleSize val="0"/>
        </c:dLbls>
        <c:axId val="164104047"/>
        <c:axId val="164107407"/>
      </c:scatterChart>
      <c:valAx>
        <c:axId val="16410404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Months using 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64107407"/>
        <c:crosses val="autoZero"/>
        <c:crossBetween val="midCat"/>
      </c:valAx>
      <c:valAx>
        <c:axId val="164107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Task time (mins)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641040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28223</xdr:colOff>
      <xdr:row>19</xdr:row>
      <xdr:rowOff>119943</xdr:rowOff>
    </xdr:from>
    <xdr:to>
      <xdr:col>10</xdr:col>
      <xdr:colOff>3894667</xdr:colOff>
      <xdr:row>26</xdr:row>
      <xdr:rowOff>7056</xdr:rowOff>
    </xdr:to>
    <xdr:sp macro="" textlink="">
      <xdr:nvSpPr>
        <xdr:cNvPr id="2" name="textruta 1">
          <a:extLst>
            <a:ext uri="{FF2B5EF4-FFF2-40B4-BE49-F238E27FC236}">
              <a16:creationId xmlns:a16="http://schemas.microsoft.com/office/drawing/2014/main" id="{91162076-8BC3-E658-8F70-795F8EDA860F}"/>
            </a:ext>
          </a:extLst>
        </xdr:cNvPr>
        <xdr:cNvSpPr txBox="1"/>
      </xdr:nvSpPr>
      <xdr:spPr>
        <a:xfrm>
          <a:off x="8784167" y="3238499"/>
          <a:ext cx="4092222" cy="102305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050" i="1">
              <a:solidFill>
                <a:sysClr val="windowText" lastClr="000000"/>
              </a:solidFill>
            </a:rPr>
            <a:t>"I vår undersökningsgrupp hade användare med premiumkonton i genomsnitt drygt 10 personer fler i sina nätverk än användare med gratiskonton</a:t>
          </a:r>
          <a:r>
            <a:rPr lang="sv-SE" sz="1050" i="1" baseline="0">
              <a:solidFill>
                <a:sysClr val="windowText" lastClr="000000"/>
              </a:solidFill>
            </a:rPr>
            <a:t> och ca 5</a:t>
          </a:r>
          <a:r>
            <a:rPr lang="sv-SE" sz="1050" i="1">
              <a:solidFill>
                <a:sysClr val="windowText" lastClr="000000"/>
              </a:solidFill>
            </a:rPr>
            <a:t> personer fler än användare med vanliga betalkonton. Medelvärdet för betalgruppen dras dock ner av några enstaka användare</a:t>
          </a:r>
          <a:r>
            <a:rPr lang="sv-SE" sz="1050" i="1" baseline="0">
              <a:solidFill>
                <a:sysClr val="windowText" lastClr="000000"/>
              </a:solidFill>
            </a:rPr>
            <a:t> med betydligt färre personer i sina nätverk än övriga i samma grupp.</a:t>
          </a:r>
          <a:r>
            <a:rPr lang="sv-SE" sz="1050" i="1">
              <a:solidFill>
                <a:sysClr val="windowText" lastClr="000000"/>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120650</xdr:colOff>
      <xdr:row>6</xdr:row>
      <xdr:rowOff>44450</xdr:rowOff>
    </xdr:from>
    <xdr:to>
      <xdr:col>10</xdr:col>
      <xdr:colOff>260350</xdr:colOff>
      <xdr:row>10</xdr:row>
      <xdr:rowOff>88900</xdr:rowOff>
    </xdr:to>
    <xdr:sp macro="" textlink="">
      <xdr:nvSpPr>
        <xdr:cNvPr id="2" name="textruta 1">
          <a:extLst>
            <a:ext uri="{FF2B5EF4-FFF2-40B4-BE49-F238E27FC236}">
              <a16:creationId xmlns:a16="http://schemas.microsoft.com/office/drawing/2014/main" id="{D3EE3380-5192-A92E-D40B-3DCB084A780C}"/>
            </a:ext>
          </a:extLst>
        </xdr:cNvPr>
        <xdr:cNvSpPr txBox="1"/>
      </xdr:nvSpPr>
      <xdr:spPr>
        <a:xfrm>
          <a:off x="5372100" y="1041400"/>
          <a:ext cx="2635250" cy="692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000"/>
            <a:t>Skalan går mellan -1 och 1, där 0 indikerar att inget samband finns mellan variablerna. Det aktuella värdet visar alltså på ett starkt negativt samband mellan variablerna.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70554</xdr:colOff>
      <xdr:row>7</xdr:row>
      <xdr:rowOff>423334</xdr:rowOff>
    </xdr:from>
    <xdr:to>
      <xdr:col>14</xdr:col>
      <xdr:colOff>134055</xdr:colOff>
      <xdr:row>11</xdr:row>
      <xdr:rowOff>134762</xdr:rowOff>
    </xdr:to>
    <xdr:sp macro="" textlink="">
      <xdr:nvSpPr>
        <xdr:cNvPr id="2" name="textruta 1">
          <a:extLst>
            <a:ext uri="{FF2B5EF4-FFF2-40B4-BE49-F238E27FC236}">
              <a16:creationId xmlns:a16="http://schemas.microsoft.com/office/drawing/2014/main" id="{04975F7F-B47F-45C7-9437-4110B5012501}"/>
            </a:ext>
          </a:extLst>
        </xdr:cNvPr>
        <xdr:cNvSpPr txBox="1"/>
      </xdr:nvSpPr>
      <xdr:spPr>
        <a:xfrm>
          <a:off x="8748887" y="1594556"/>
          <a:ext cx="2730501" cy="6921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000"/>
            <a:t>Skalan går mellan -1 och 1, där 0 indikerar att inget samband finns mellan variablerna. Det aktuella värdet visar alltså på ett ganska starkt negativt samband mellan variablerna.</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114300</xdr:colOff>
      <xdr:row>1</xdr:row>
      <xdr:rowOff>38100</xdr:rowOff>
    </xdr:from>
    <xdr:ext cx="2600325" cy="5048250"/>
    <xdr:graphicFrame macro="">
      <xdr:nvGraphicFramePr>
        <xdr:cNvPr id="2" name="Chart 1" titl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twoCellAnchor>
    <xdr:from>
      <xdr:col>6</xdr:col>
      <xdr:colOff>104775</xdr:colOff>
      <xdr:row>4</xdr:row>
      <xdr:rowOff>38100</xdr:rowOff>
    </xdr:from>
    <xdr:to>
      <xdr:col>11</xdr:col>
      <xdr:colOff>301625</xdr:colOff>
      <xdr:row>21</xdr:row>
      <xdr:rowOff>50800</xdr:rowOff>
    </xdr:to>
    <xdr:graphicFrame macro="">
      <xdr:nvGraphicFramePr>
        <xdr:cNvPr id="3" name="Diagram 2">
          <a:extLst>
            <a:ext uri="{FF2B5EF4-FFF2-40B4-BE49-F238E27FC236}">
              <a16:creationId xmlns:a16="http://schemas.microsoft.com/office/drawing/2014/main" id="{9213E9FB-BE3F-3B24-DEE3-F03C34BDD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Joakim Hasselblad" id="{EAB62072-EBB4-48BD-A3CA-7F0F4168E45C}" userId="S::Joakim.Hasselblad@pm3.se::6dd8795c-5527-49ed-a898-59282e3c692a"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1" dT="2025-04-21T13:43:54.70" personId="{EAB62072-EBB4-48BD-A3CA-7F0F4168E45C}" id="{85A4C7AF-032E-40B7-8CF7-B9F9A5E96B60}">
    <text>Eller egentligen ”variationsvidd”. Högsta värdet minus lägsta värdet. (Formlerna är mer användbara när värdena inte är sorterade i stigande eller fallande ordning!)</text>
  </threadedComment>
</ThreadedComments>
</file>

<file path=xl/threadedComments/threadedComment2.xml><?xml version="1.0" encoding="utf-8"?>
<ThreadedComments xmlns="http://schemas.microsoft.com/office/spreadsheetml/2018/threadedcomments" xmlns:x="http://schemas.openxmlformats.org/spreadsheetml/2006/main">
  <threadedComment ref="E11" dT="2026-05-01T10:14:30.77" personId="{EAB62072-EBB4-48BD-A3CA-7F0F4168E45C}" id="{98135EBC-3AC4-4D67-8C55-B7726EF14024}">
    <text>Vald konfidensnivå</text>
  </threadedComment>
  <threadedComment ref="E12" dT="2026-05-02T07:47:05.30" personId="{EAB62072-EBB4-48BD-A3CA-7F0F4168E45C}" id="{623BCB2F-7321-426B-AD49-7D462C8A3382}">
    <text>Alfa är ett värde som används i funktionen som räknar ut felmarginalen, se nedan. Alfa beräknas som 1 minus den valda konfidensnivån.</text>
  </threadedComment>
  <threadedComment ref="E15" dT="2026-05-02T07:48:14.21" personId="{EAB62072-EBB4-48BD-A3CA-7F0F4168E45C}" id="{1D25DD0D-62C2-451C-95B2-B2E849652367}">
    <text>Här avrundas både medelvärdet och felmarginalen till två decimaler.</text>
  </threadedComment>
  <threadedComment ref="E18" dT="2026-05-01T09:57:02.32" personId="{EAB62072-EBB4-48BD-A3CA-7F0F4168E45C}" id="{E929C7CF-F291-46AC-A526-0706D57FD565}">
    <text>Konfidensintervallets undre gräns.</text>
  </threadedComment>
  <threadedComment ref="E20" dT="2026-05-01T09:57:21.36" personId="{EAB62072-EBB4-48BD-A3CA-7F0F4168E45C}" id="{EC019975-BF5F-4D79-8752-387F4527746A}">
    <text>Konfidensintervallets övre gräns.</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93CF-A5A9-429D-9981-D1BAA3273A5C}">
  <dimension ref="A1:K18"/>
  <sheetViews>
    <sheetView showGridLines="0" tabSelected="1" workbookViewId="0"/>
  </sheetViews>
  <sheetFormatPr defaultRowHeight="12.5" x14ac:dyDescent="0.25"/>
  <cols>
    <col min="1" max="1" width="70.453125" customWidth="1"/>
    <col min="3" max="3" width="21.453125" customWidth="1"/>
  </cols>
  <sheetData>
    <row r="1" spans="1:11" ht="15.5" x14ac:dyDescent="0.35">
      <c r="A1" s="6" t="s">
        <v>84</v>
      </c>
    </row>
    <row r="2" spans="1:11" ht="26" customHeight="1" x14ac:dyDescent="0.25">
      <c r="A2" s="57" t="s">
        <v>75</v>
      </c>
      <c r="B2" s="57"/>
      <c r="C2" s="57"/>
    </row>
    <row r="3" spans="1:11" x14ac:dyDescent="0.25">
      <c r="A3" s="3"/>
    </row>
    <row r="4" spans="1:11" x14ac:dyDescent="0.25">
      <c r="A4" s="36" t="s">
        <v>37</v>
      </c>
    </row>
    <row r="5" spans="1:11" x14ac:dyDescent="0.25">
      <c r="A5" s="36" t="s">
        <v>38</v>
      </c>
    </row>
    <row r="6" spans="1:11" x14ac:dyDescent="0.25">
      <c r="A6" s="36" t="s">
        <v>74</v>
      </c>
    </row>
    <row r="7" spans="1:11" x14ac:dyDescent="0.25">
      <c r="A7" s="36" t="s">
        <v>65</v>
      </c>
    </row>
    <row r="8" spans="1:11" x14ac:dyDescent="0.25">
      <c r="A8" s="36" t="s">
        <v>61</v>
      </c>
    </row>
    <row r="9" spans="1:11" x14ac:dyDescent="0.25">
      <c r="A9" s="36" t="s">
        <v>62</v>
      </c>
    </row>
    <row r="10" spans="1:11" x14ac:dyDescent="0.25">
      <c r="A10" s="36" t="s">
        <v>63</v>
      </c>
    </row>
    <row r="11" spans="1:11" x14ac:dyDescent="0.25">
      <c r="A11" s="36" t="s">
        <v>85</v>
      </c>
    </row>
    <row r="12" spans="1:11" x14ac:dyDescent="0.25">
      <c r="A12" s="36" t="s">
        <v>121</v>
      </c>
    </row>
    <row r="14" spans="1:11" ht="13" x14ac:dyDescent="0.3">
      <c r="A14" s="12" t="s">
        <v>87</v>
      </c>
    </row>
    <row r="15" spans="1:11" x14ac:dyDescent="0.25">
      <c r="A15" s="12"/>
    </row>
    <row r="16" spans="1:11" ht="13" customHeight="1" x14ac:dyDescent="0.25">
      <c r="A16" s="56" t="s">
        <v>39</v>
      </c>
      <c r="B16" s="56"/>
      <c r="C16" s="56"/>
      <c r="D16" s="56"/>
      <c r="E16" s="56"/>
      <c r="F16" s="56"/>
      <c r="G16" s="56"/>
      <c r="H16" s="56"/>
      <c r="I16" s="56"/>
      <c r="J16" s="56"/>
      <c r="K16" s="56"/>
    </row>
    <row r="17" spans="1:11" ht="12.5" customHeight="1" x14ac:dyDescent="0.25">
      <c r="A17" s="56"/>
      <c r="B17" s="56"/>
      <c r="C17" s="56"/>
      <c r="D17" s="56"/>
      <c r="E17" s="56"/>
      <c r="F17" s="56"/>
      <c r="G17" s="56"/>
      <c r="H17" s="56"/>
      <c r="I17" s="56"/>
      <c r="J17" s="56"/>
      <c r="K17" s="56"/>
    </row>
    <row r="18" spans="1:11" ht="20" customHeight="1" x14ac:dyDescent="0.25">
      <c r="A18" s="56"/>
      <c r="B18" s="56"/>
      <c r="C18" s="56"/>
      <c r="D18" s="56"/>
      <c r="E18" s="56"/>
      <c r="F18" s="56"/>
      <c r="G18" s="56"/>
      <c r="H18" s="56"/>
      <c r="I18" s="56"/>
      <c r="J18" s="56"/>
      <c r="K18" s="56"/>
    </row>
  </sheetData>
  <mergeCells count="2">
    <mergeCell ref="A16:K18"/>
    <mergeCell ref="A2:C2"/>
  </mergeCells>
  <hyperlinks>
    <hyperlink ref="A4" location="Beskrivande!A1" display="Beskrivande statistik" xr:uid="{9F4A2B0A-7005-40F1-AE52-11A5DBD6EA51}"/>
    <hyperlink ref="A5" location="Centralmått!A1" display="Centralmått - medelvärde, median, typvärde" xr:uid="{B5ECABAA-E804-4DB2-9D78-792A83F50658}"/>
    <hyperlink ref="A6" location="Spridningsmått!A1" display="Varians och standardavvikelse" xr:uid="{CC5F4603-740F-44EE-9900-6EE899833689}"/>
    <hyperlink ref="A7" location="Pearson!A1" display="Pearsons R - samband i kvantitativa data" xr:uid="{020F331A-4A65-45EE-B910-8C7963A1CDC5}"/>
    <hyperlink ref="A8" location="Spearman!A1" display="Spearmans Rho - samband i kvalitativa data" xr:uid="{A65232A7-8CE8-4313-BCF3-9B2787719FF5}"/>
    <hyperlink ref="A9" location="'T-test'!A1" display="T-test - test för skillnader i kvantitativa data" xr:uid="{392D5937-85AF-4204-9540-473A53071CBD}"/>
    <hyperlink ref="A10" location="'Chi kvadrat'!A1" display="Chi kvadrat - test för skillnader i kvalitativa data" xr:uid="{EBCCAE92-E769-4115-B99C-09264074231D}"/>
    <hyperlink ref="A11" location="Skillnader!A1" display="Jämförelse skillnader - att visa konfidensintervall" xr:uid="{FD35E422-58D9-4E4F-923F-DD6E4F4365C8}"/>
    <hyperlink ref="A12" location="Samband!A1" display="Samband - att visa korrelationer" xr:uid="{E48CFFD4-807B-49E8-A8B2-81A88AE10B8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77A53-5D44-4C84-9219-BE01351F4DF2}">
  <sheetPr>
    <outlinePr summaryBelow="0" summaryRight="0"/>
  </sheetPr>
  <dimension ref="A1:W25"/>
  <sheetViews>
    <sheetView zoomScale="90" zoomScaleNormal="90" workbookViewId="0">
      <selection activeCell="A3" sqref="A3"/>
    </sheetView>
  </sheetViews>
  <sheetFormatPr defaultColWidth="14.453125" defaultRowHeight="13" x14ac:dyDescent="0.3"/>
  <cols>
    <col min="2" max="2" width="13.1796875" bestFit="1" customWidth="1"/>
    <col min="3" max="3" width="12.7265625" bestFit="1" customWidth="1"/>
    <col min="4" max="4" width="11.54296875" bestFit="1" customWidth="1"/>
    <col min="5" max="5" width="21.54296875" bestFit="1" customWidth="1"/>
    <col min="6" max="6" width="6.7265625" customWidth="1"/>
    <col min="7" max="7" width="29.81640625" style="5" bestFit="1" customWidth="1"/>
    <col min="8" max="8" width="8.90625" bestFit="1" customWidth="1"/>
    <col min="9" max="9" width="6.453125" customWidth="1"/>
    <col min="10" max="10" width="3.26953125" customWidth="1"/>
    <col min="11" max="11" width="58.453125" customWidth="1"/>
  </cols>
  <sheetData>
    <row r="1" spans="1:23" s="8" customFormat="1" ht="15.5" x14ac:dyDescent="0.35">
      <c r="A1" s="7" t="s">
        <v>37</v>
      </c>
      <c r="G1" s="6"/>
    </row>
    <row r="2" spans="1:23" x14ac:dyDescent="0.3">
      <c r="A2" s="3" t="s">
        <v>47</v>
      </c>
    </row>
    <row r="4" spans="1:23" x14ac:dyDescent="0.3">
      <c r="A4" s="10" t="s">
        <v>0</v>
      </c>
      <c r="B4" s="9" t="s">
        <v>111</v>
      </c>
    </row>
    <row r="5" spans="1:23" x14ac:dyDescent="0.3">
      <c r="B5" s="9" t="s">
        <v>110</v>
      </c>
    </row>
    <row r="6" spans="1:23" x14ac:dyDescent="0.3">
      <c r="B6" s="9" t="s">
        <v>109</v>
      </c>
    </row>
    <row r="9" spans="1:23" s="12" customFormat="1" x14ac:dyDescent="0.3">
      <c r="A9" s="11"/>
      <c r="B9" s="10" t="s">
        <v>6</v>
      </c>
      <c r="C9" s="10" t="s">
        <v>1</v>
      </c>
      <c r="D9" s="10" t="s">
        <v>2</v>
      </c>
      <c r="E9" s="10" t="s">
        <v>3</v>
      </c>
      <c r="F9" s="11"/>
      <c r="G9" s="10"/>
      <c r="H9" s="11"/>
      <c r="I9" s="11"/>
      <c r="J9" s="11"/>
      <c r="K9" s="11"/>
      <c r="L9" s="11"/>
      <c r="M9" s="11"/>
      <c r="N9" s="11"/>
      <c r="O9" s="11"/>
      <c r="P9" s="11"/>
      <c r="Q9" s="11"/>
      <c r="R9" s="11"/>
      <c r="S9" s="11"/>
      <c r="T9" s="11"/>
      <c r="U9" s="11"/>
      <c r="V9" s="11"/>
      <c r="W9" s="11"/>
    </row>
    <row r="10" spans="1:23" s="12" customFormat="1" x14ac:dyDescent="0.3">
      <c r="A10" s="11"/>
      <c r="B10" s="11" t="s">
        <v>4</v>
      </c>
      <c r="C10" s="11" t="s">
        <v>5</v>
      </c>
      <c r="D10" s="11">
        <v>4</v>
      </c>
      <c r="E10" s="11">
        <v>26</v>
      </c>
      <c r="F10" s="11"/>
      <c r="G10" s="10" t="s">
        <v>6</v>
      </c>
      <c r="H10" s="25" t="s">
        <v>4</v>
      </c>
      <c r="I10" s="11">
        <f>COUNTIF(B10:B25,"Yes")</f>
        <v>9</v>
      </c>
      <c r="J10" s="11"/>
      <c r="K10" s="11"/>
      <c r="L10" s="11"/>
      <c r="M10" s="11"/>
      <c r="N10" s="11"/>
      <c r="O10" s="11"/>
      <c r="P10" s="11"/>
      <c r="Q10" s="11"/>
      <c r="R10" s="11"/>
      <c r="S10" s="11"/>
      <c r="T10" s="11"/>
      <c r="U10" s="11"/>
      <c r="V10" s="11"/>
      <c r="W10" s="11"/>
    </row>
    <row r="11" spans="1:23" s="12" customFormat="1" x14ac:dyDescent="0.3">
      <c r="A11" s="11"/>
      <c r="B11" s="11" t="s">
        <v>7</v>
      </c>
      <c r="C11" s="11" t="s">
        <v>8</v>
      </c>
      <c r="D11" s="11">
        <v>3</v>
      </c>
      <c r="E11" s="11">
        <v>30</v>
      </c>
      <c r="F11" s="11"/>
      <c r="G11" s="41" t="s">
        <v>92</v>
      </c>
      <c r="H11" s="25" t="s">
        <v>7</v>
      </c>
      <c r="I11" s="11">
        <f>COUNTIF(B10:B25,"No")</f>
        <v>7</v>
      </c>
      <c r="J11" s="11"/>
      <c r="K11" s="11"/>
      <c r="L11" s="11"/>
      <c r="M11" s="11"/>
      <c r="N11" s="11"/>
      <c r="O11" s="11"/>
      <c r="P11" s="11"/>
      <c r="Q11" s="11"/>
      <c r="R11" s="11"/>
      <c r="S11" s="11"/>
      <c r="T11" s="11"/>
      <c r="U11" s="11"/>
      <c r="V11" s="11"/>
      <c r="W11" s="11"/>
    </row>
    <row r="12" spans="1:23" s="12" customFormat="1" x14ac:dyDescent="0.3">
      <c r="A12" s="11"/>
      <c r="B12" s="11" t="s">
        <v>4</v>
      </c>
      <c r="C12" s="11" t="s">
        <v>8</v>
      </c>
      <c r="D12" s="11">
        <v>5</v>
      </c>
      <c r="E12" s="11">
        <v>57</v>
      </c>
      <c r="F12" s="11"/>
      <c r="G12" s="10"/>
      <c r="H12" s="25"/>
      <c r="I12" s="11"/>
      <c r="J12" s="11"/>
      <c r="K12" s="11"/>
      <c r="L12" s="11"/>
      <c r="M12" s="11"/>
      <c r="N12" s="11"/>
      <c r="O12" s="11"/>
      <c r="P12" s="11"/>
      <c r="Q12" s="11"/>
      <c r="R12" s="11"/>
      <c r="S12" s="11"/>
      <c r="T12" s="11"/>
      <c r="U12" s="11"/>
      <c r="V12" s="11"/>
      <c r="W12" s="11"/>
    </row>
    <row r="13" spans="1:23" s="12" customFormat="1" x14ac:dyDescent="0.3">
      <c r="A13" s="11"/>
      <c r="B13" s="11" t="s">
        <v>4</v>
      </c>
      <c r="C13" s="11" t="s">
        <v>9</v>
      </c>
      <c r="D13" s="11">
        <v>5</v>
      </c>
      <c r="E13" s="11">
        <v>50</v>
      </c>
      <c r="F13" s="11"/>
      <c r="G13" s="10"/>
      <c r="H13" s="25"/>
      <c r="I13" s="11"/>
      <c r="J13" s="11"/>
      <c r="K13" s="11"/>
      <c r="L13" s="11"/>
      <c r="M13" s="11"/>
      <c r="N13" s="11"/>
      <c r="O13" s="11"/>
      <c r="P13" s="11"/>
      <c r="Q13" s="11"/>
      <c r="R13" s="11"/>
      <c r="S13" s="11"/>
      <c r="T13" s="11"/>
      <c r="U13" s="11"/>
      <c r="V13" s="11"/>
      <c r="W13" s="11"/>
    </row>
    <row r="14" spans="1:23" s="12" customFormat="1" x14ac:dyDescent="0.3">
      <c r="A14" s="11"/>
      <c r="B14" s="11" t="s">
        <v>4</v>
      </c>
      <c r="C14" s="11" t="s">
        <v>8</v>
      </c>
      <c r="D14" s="11">
        <v>3</v>
      </c>
      <c r="E14" s="11">
        <v>40</v>
      </c>
      <c r="F14" s="11"/>
      <c r="G14" s="10" t="s">
        <v>2</v>
      </c>
      <c r="H14" s="25">
        <v>1</v>
      </c>
      <c r="I14" s="11" cm="1">
        <f t="array" ref="I14:I19">FREQUENCY(D10:D25,H14:H18)</f>
        <v>1</v>
      </c>
      <c r="J14" s="11"/>
      <c r="K14" s="52" t="s">
        <v>108</v>
      </c>
      <c r="L14" s="11"/>
      <c r="M14" s="11"/>
      <c r="N14" s="11"/>
      <c r="O14" s="11"/>
      <c r="P14" s="11"/>
      <c r="Q14" s="11"/>
      <c r="R14" s="11"/>
      <c r="S14" s="11"/>
      <c r="T14" s="11"/>
      <c r="U14" s="11"/>
      <c r="V14" s="11"/>
      <c r="W14" s="11"/>
    </row>
    <row r="15" spans="1:23" s="12" customFormat="1" x14ac:dyDescent="0.3">
      <c r="A15" s="11"/>
      <c r="B15" s="11" t="s">
        <v>7</v>
      </c>
      <c r="C15" s="11" t="s">
        <v>9</v>
      </c>
      <c r="D15" s="11">
        <v>5</v>
      </c>
      <c r="E15" s="11">
        <v>55</v>
      </c>
      <c r="F15" s="11"/>
      <c r="G15" s="41" t="s">
        <v>93</v>
      </c>
      <c r="H15" s="25">
        <v>2</v>
      </c>
      <c r="I15" s="11">
        <v>1</v>
      </c>
      <c r="J15" s="11"/>
      <c r="K15" s="13"/>
      <c r="L15" s="11"/>
      <c r="M15" s="11"/>
      <c r="N15" s="11"/>
      <c r="O15" s="11"/>
      <c r="P15" s="11"/>
      <c r="Q15" s="11"/>
      <c r="R15" s="11"/>
      <c r="S15" s="11"/>
      <c r="T15" s="11"/>
      <c r="U15" s="11"/>
      <c r="V15" s="11"/>
      <c r="W15" s="11"/>
    </row>
    <row r="16" spans="1:23" s="12" customFormat="1" x14ac:dyDescent="0.3">
      <c r="A16" s="11"/>
      <c r="B16" s="11" t="s">
        <v>7</v>
      </c>
      <c r="C16" s="11" t="s">
        <v>5</v>
      </c>
      <c r="D16" s="11">
        <v>2</v>
      </c>
      <c r="E16" s="11">
        <v>12</v>
      </c>
      <c r="F16" s="11"/>
      <c r="G16" s="10"/>
      <c r="H16" s="25">
        <v>3</v>
      </c>
      <c r="I16" s="11">
        <v>3</v>
      </c>
      <c r="J16" s="11"/>
      <c r="K16" s="13"/>
      <c r="L16" s="11"/>
      <c r="M16" s="11"/>
      <c r="N16" s="11"/>
      <c r="O16" s="11"/>
      <c r="P16" s="11"/>
      <c r="Q16" s="11"/>
      <c r="R16" s="11"/>
      <c r="S16" s="11"/>
      <c r="T16" s="11"/>
      <c r="U16" s="11"/>
      <c r="V16" s="11"/>
      <c r="W16" s="11"/>
    </row>
    <row r="17" spans="1:23" s="12" customFormat="1" x14ac:dyDescent="0.3">
      <c r="A17" s="11"/>
      <c r="B17" s="11" t="s">
        <v>4</v>
      </c>
      <c r="C17" s="11" t="s">
        <v>8</v>
      </c>
      <c r="D17" s="11">
        <v>4</v>
      </c>
      <c r="E17" s="11">
        <v>48</v>
      </c>
      <c r="F17" s="11"/>
      <c r="G17" s="10"/>
      <c r="H17" s="25">
        <v>4</v>
      </c>
      <c r="I17" s="11">
        <v>4</v>
      </c>
      <c r="J17" s="11"/>
      <c r="K17" s="13"/>
      <c r="L17" s="11"/>
      <c r="M17" s="11"/>
      <c r="N17" s="11"/>
      <c r="O17" s="11"/>
      <c r="P17" s="11"/>
      <c r="Q17" s="11"/>
      <c r="R17" s="11"/>
      <c r="S17" s="11"/>
      <c r="T17" s="11"/>
      <c r="U17" s="11"/>
      <c r="V17" s="11"/>
      <c r="W17" s="11"/>
    </row>
    <row r="18" spans="1:23" s="12" customFormat="1" x14ac:dyDescent="0.3">
      <c r="A18" s="11"/>
      <c r="B18" s="11" t="s">
        <v>4</v>
      </c>
      <c r="C18" s="11" t="s">
        <v>5</v>
      </c>
      <c r="D18" s="11">
        <v>5</v>
      </c>
      <c r="E18" s="11">
        <v>48</v>
      </c>
      <c r="F18" s="11"/>
      <c r="G18" s="10"/>
      <c r="H18" s="25">
        <v>5</v>
      </c>
      <c r="I18" s="11">
        <v>7</v>
      </c>
      <c r="J18" s="11"/>
      <c r="K18" s="13"/>
      <c r="L18" s="11"/>
      <c r="M18" s="11"/>
      <c r="N18" s="11"/>
      <c r="O18" s="11"/>
      <c r="P18" s="11"/>
      <c r="Q18" s="11"/>
      <c r="R18" s="11"/>
      <c r="S18" s="11"/>
      <c r="T18" s="11"/>
      <c r="U18" s="11"/>
      <c r="V18" s="11"/>
      <c r="W18" s="11"/>
    </row>
    <row r="19" spans="1:23" s="12" customFormat="1" x14ac:dyDescent="0.3">
      <c r="A19" s="11"/>
      <c r="B19" s="11" t="s">
        <v>4</v>
      </c>
      <c r="C19" s="11" t="s">
        <v>8</v>
      </c>
      <c r="D19" s="11">
        <v>5</v>
      </c>
      <c r="E19" s="11">
        <v>72</v>
      </c>
      <c r="F19" s="11"/>
      <c r="G19" s="10"/>
      <c r="H19" s="25"/>
      <c r="I19" s="11">
        <v>0</v>
      </c>
      <c r="J19" s="11"/>
      <c r="K19" s="11"/>
      <c r="L19" s="11"/>
      <c r="M19" s="11"/>
      <c r="N19" s="11"/>
      <c r="O19" s="11"/>
      <c r="P19" s="11"/>
      <c r="Q19" s="11"/>
      <c r="R19" s="11"/>
      <c r="S19" s="11"/>
      <c r="T19" s="11"/>
      <c r="U19" s="11"/>
      <c r="V19" s="11"/>
      <c r="W19" s="11"/>
    </row>
    <row r="20" spans="1:23" s="12" customFormat="1" x14ac:dyDescent="0.3">
      <c r="A20" s="11"/>
      <c r="B20" s="11" t="s">
        <v>7</v>
      </c>
      <c r="C20" s="11" t="s">
        <v>8</v>
      </c>
      <c r="D20" s="11">
        <v>1</v>
      </c>
      <c r="E20" s="11">
        <v>5</v>
      </c>
      <c r="F20" s="11"/>
      <c r="G20" s="10"/>
      <c r="H20" s="25"/>
      <c r="I20" s="11"/>
      <c r="J20" s="11"/>
      <c r="K20" s="11"/>
      <c r="L20" s="11"/>
      <c r="M20" s="11"/>
      <c r="N20" s="11"/>
      <c r="O20" s="11"/>
      <c r="P20" s="11"/>
      <c r="Q20" s="11"/>
      <c r="R20" s="11"/>
      <c r="S20" s="11"/>
      <c r="T20" s="11"/>
      <c r="U20" s="11"/>
      <c r="V20" s="11"/>
      <c r="W20" s="11"/>
    </row>
    <row r="21" spans="1:23" s="12" customFormat="1" x14ac:dyDescent="0.3">
      <c r="A21" s="11"/>
      <c r="B21" s="11" t="s">
        <v>4</v>
      </c>
      <c r="C21" s="11" t="s">
        <v>8</v>
      </c>
      <c r="D21" s="11">
        <v>5</v>
      </c>
      <c r="E21" s="11">
        <v>60</v>
      </c>
      <c r="F21" s="11"/>
      <c r="G21" s="10" t="s">
        <v>10</v>
      </c>
      <c r="H21" s="51"/>
      <c r="J21" s="11"/>
      <c r="K21" s="11"/>
      <c r="L21" s="11"/>
      <c r="M21" s="11"/>
      <c r="N21" s="11"/>
      <c r="O21" s="11"/>
      <c r="P21" s="11"/>
      <c r="Q21" s="11"/>
      <c r="R21" s="11"/>
      <c r="S21" s="11"/>
      <c r="T21" s="11"/>
      <c r="U21" s="11"/>
      <c r="V21" s="11"/>
      <c r="W21" s="11"/>
    </row>
    <row r="22" spans="1:23" s="12" customFormat="1" x14ac:dyDescent="0.3">
      <c r="A22" s="11"/>
      <c r="B22" s="11" t="s">
        <v>4</v>
      </c>
      <c r="C22" s="11" t="s">
        <v>9</v>
      </c>
      <c r="D22" s="11">
        <v>4</v>
      </c>
      <c r="E22" s="11">
        <v>43</v>
      </c>
      <c r="F22" s="11"/>
      <c r="G22" s="10"/>
      <c r="H22" s="25" t="s">
        <v>5</v>
      </c>
      <c r="I22" s="14">
        <f>AVERAGEIF(C10:C25,"free",E10:E25)</f>
        <v>28.666666666666668</v>
      </c>
      <c r="J22" s="11"/>
      <c r="K22" s="11"/>
      <c r="L22" s="11"/>
      <c r="M22" s="11"/>
      <c r="N22" s="11"/>
      <c r="O22" s="11"/>
      <c r="P22" s="11"/>
      <c r="Q22" s="11"/>
      <c r="R22" s="11"/>
      <c r="S22" s="11"/>
      <c r="T22" s="11"/>
      <c r="U22" s="11"/>
      <c r="V22" s="11"/>
      <c r="W22" s="11"/>
    </row>
    <row r="23" spans="1:23" s="12" customFormat="1" x14ac:dyDescent="0.3">
      <c r="A23" s="11"/>
      <c r="B23" s="11" t="s">
        <v>7</v>
      </c>
      <c r="C23" s="11" t="s">
        <v>9</v>
      </c>
      <c r="D23" s="11">
        <v>3</v>
      </c>
      <c r="E23" s="11">
        <v>20</v>
      </c>
      <c r="F23" s="11"/>
      <c r="G23" s="10"/>
      <c r="H23" s="25" t="s">
        <v>8</v>
      </c>
      <c r="I23" s="14">
        <f>AVERAGEIF(C10:C25,"paid",E10:E25)</f>
        <v>37.222222222222221</v>
      </c>
      <c r="J23" s="11"/>
      <c r="K23" s="11"/>
      <c r="L23" s="11"/>
      <c r="M23" s="11"/>
      <c r="N23" s="11"/>
      <c r="O23" s="11"/>
      <c r="P23" s="11"/>
      <c r="Q23" s="11"/>
      <c r="R23" s="11"/>
      <c r="S23" s="11"/>
      <c r="T23" s="11"/>
      <c r="U23" s="11"/>
      <c r="V23" s="11"/>
      <c r="W23" s="11"/>
    </row>
    <row r="24" spans="1:23" s="12" customFormat="1" x14ac:dyDescent="0.3">
      <c r="A24" s="11"/>
      <c r="B24" s="11" t="s">
        <v>7</v>
      </c>
      <c r="C24" s="11" t="s">
        <v>8</v>
      </c>
      <c r="D24" s="11">
        <v>4</v>
      </c>
      <c r="E24" s="11">
        <v>19</v>
      </c>
      <c r="F24" s="11"/>
      <c r="G24" s="10"/>
      <c r="H24" s="25" t="s">
        <v>9</v>
      </c>
      <c r="I24" s="14">
        <f>AVERAGEIF(C10:C25,"premium",E10:E25)</f>
        <v>42</v>
      </c>
      <c r="J24" s="11"/>
      <c r="K24" s="53"/>
      <c r="L24" s="11"/>
      <c r="M24" s="11"/>
      <c r="N24" s="11"/>
      <c r="O24" s="11"/>
      <c r="P24" s="11"/>
      <c r="Q24" s="11"/>
      <c r="R24" s="11"/>
      <c r="S24" s="11"/>
      <c r="T24" s="11"/>
      <c r="U24" s="11"/>
      <c r="V24" s="11"/>
      <c r="W24" s="11"/>
    </row>
    <row r="25" spans="1:23" s="12" customFormat="1" x14ac:dyDescent="0.3">
      <c r="A25" s="11"/>
      <c r="B25" s="11" t="s">
        <v>7</v>
      </c>
      <c r="C25" s="11" t="s">
        <v>8</v>
      </c>
      <c r="D25" s="11">
        <v>5</v>
      </c>
      <c r="E25" s="11">
        <v>4</v>
      </c>
      <c r="F25" s="11"/>
      <c r="G25" s="5"/>
      <c r="J25" s="11"/>
      <c r="K25" s="11"/>
      <c r="L25" s="11"/>
      <c r="M25" s="11"/>
      <c r="N25" s="11"/>
      <c r="O25" s="11"/>
      <c r="P25" s="11"/>
      <c r="Q25" s="11"/>
      <c r="R25" s="11"/>
      <c r="S25" s="11"/>
      <c r="T25" s="11"/>
      <c r="U25" s="11"/>
      <c r="V25" s="11"/>
      <c r="W25" s="11"/>
    </row>
  </sheetData>
  <pageMargins left="0" right="0" top="0" bottom="0" header="0" footer="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W23"/>
  <sheetViews>
    <sheetView workbookViewId="0">
      <selection activeCell="A3" sqref="A3"/>
    </sheetView>
  </sheetViews>
  <sheetFormatPr defaultColWidth="14.453125" defaultRowHeight="13" x14ac:dyDescent="0.3"/>
  <cols>
    <col min="2" max="2" width="13" bestFit="1" customWidth="1"/>
    <col min="3" max="3" width="14.81640625" customWidth="1"/>
    <col min="4" max="4" width="35" style="16" bestFit="1" customWidth="1"/>
    <col min="5" max="5" width="6.36328125" bestFit="1" customWidth="1"/>
    <col min="6" max="6" width="3.08984375" customWidth="1"/>
  </cols>
  <sheetData>
    <row r="1" spans="1:23" ht="15.5" x14ac:dyDescent="0.35">
      <c r="A1" s="7" t="s">
        <v>43</v>
      </c>
    </row>
    <row r="2" spans="1:23" x14ac:dyDescent="0.3">
      <c r="A2" s="3" t="s">
        <v>48</v>
      </c>
    </row>
    <row r="4" spans="1:23" x14ac:dyDescent="0.3">
      <c r="A4" s="10" t="s">
        <v>0</v>
      </c>
      <c r="B4" s="9" t="s">
        <v>40</v>
      </c>
    </row>
    <row r="5" spans="1:23" x14ac:dyDescent="0.3">
      <c r="B5" s="9" t="s">
        <v>41</v>
      </c>
    </row>
    <row r="6" spans="1:23" x14ac:dyDescent="0.3">
      <c r="B6" s="9" t="s">
        <v>42</v>
      </c>
    </row>
    <row r="8" spans="1:23" s="5" customFormat="1" x14ac:dyDescent="0.3">
      <c r="A8" s="10"/>
      <c r="B8" s="10" t="s">
        <v>11</v>
      </c>
      <c r="D8" s="17"/>
      <c r="E8" s="10"/>
      <c r="F8" s="10"/>
      <c r="G8" s="10"/>
      <c r="H8" s="10"/>
      <c r="I8" s="10"/>
      <c r="J8" s="10"/>
      <c r="K8" s="10"/>
      <c r="L8" s="10"/>
      <c r="M8" s="10"/>
      <c r="N8" s="10"/>
      <c r="O8" s="10"/>
      <c r="P8" s="10"/>
      <c r="Q8" s="10"/>
      <c r="R8" s="10"/>
      <c r="S8" s="10"/>
      <c r="T8" s="10"/>
      <c r="U8" s="10"/>
      <c r="V8" s="10"/>
      <c r="W8" s="10"/>
    </row>
    <row r="9" spans="1:23" s="12" customFormat="1" x14ac:dyDescent="0.3">
      <c r="A9" s="11"/>
      <c r="B9" s="15">
        <v>26000</v>
      </c>
      <c r="D9" s="17"/>
      <c r="E9" s="11"/>
      <c r="F9" s="11"/>
      <c r="G9" s="11"/>
      <c r="H9" s="11"/>
      <c r="I9" s="11"/>
      <c r="J9" s="11"/>
      <c r="K9" s="11"/>
      <c r="L9" s="11"/>
      <c r="M9" s="11"/>
      <c r="N9" s="11"/>
      <c r="O9" s="11"/>
      <c r="P9" s="11"/>
      <c r="Q9" s="11"/>
      <c r="R9" s="11"/>
      <c r="S9" s="11"/>
      <c r="T9" s="11"/>
      <c r="U9" s="11"/>
      <c r="V9" s="11"/>
      <c r="W9" s="11"/>
    </row>
    <row r="10" spans="1:23" s="12" customFormat="1" x14ac:dyDescent="0.3">
      <c r="A10" s="11"/>
      <c r="B10" s="15">
        <v>27000</v>
      </c>
      <c r="D10" s="17"/>
      <c r="E10" s="11"/>
      <c r="F10" s="11"/>
      <c r="G10" s="11"/>
      <c r="H10" s="11"/>
      <c r="I10" s="11"/>
      <c r="J10" s="11"/>
      <c r="K10" s="11"/>
      <c r="L10" s="11"/>
      <c r="M10" s="11"/>
      <c r="N10" s="11"/>
      <c r="O10" s="11"/>
      <c r="P10" s="11"/>
      <c r="Q10" s="11"/>
      <c r="R10" s="11"/>
      <c r="S10" s="11"/>
      <c r="T10" s="11"/>
      <c r="U10" s="11"/>
      <c r="V10" s="11"/>
      <c r="W10" s="11"/>
    </row>
    <row r="11" spans="1:23" s="12" customFormat="1" x14ac:dyDescent="0.3">
      <c r="A11" s="11"/>
      <c r="B11" s="15">
        <v>29000</v>
      </c>
      <c r="D11" s="17" t="s">
        <v>51</v>
      </c>
      <c r="E11" s="15">
        <f>MODE(B9:B19)</f>
        <v>35000</v>
      </c>
      <c r="F11" s="11"/>
      <c r="G11" s="11"/>
      <c r="H11" s="11"/>
      <c r="I11" s="11"/>
      <c r="J11" s="11"/>
      <c r="K11" s="11"/>
      <c r="L11" s="11"/>
      <c r="M11" s="11"/>
      <c r="N11" s="11"/>
      <c r="O11" s="11"/>
      <c r="P11" s="11"/>
      <c r="Q11" s="11"/>
      <c r="R11" s="11"/>
      <c r="S11" s="11"/>
      <c r="T11" s="11"/>
      <c r="U11" s="11"/>
      <c r="V11" s="11"/>
      <c r="W11" s="11"/>
    </row>
    <row r="12" spans="1:23" s="12" customFormat="1" x14ac:dyDescent="0.3">
      <c r="A12" s="11"/>
      <c r="B12" s="15">
        <v>30000</v>
      </c>
      <c r="D12" s="17" t="s">
        <v>49</v>
      </c>
      <c r="E12" s="15">
        <f>MEDIAN(B9:B19)</f>
        <v>33000</v>
      </c>
      <c r="F12" s="11"/>
      <c r="G12" s="11"/>
      <c r="H12" s="11"/>
      <c r="I12" s="11"/>
      <c r="J12" s="11"/>
      <c r="K12" s="11"/>
      <c r="L12" s="11"/>
      <c r="M12" s="11"/>
      <c r="N12" s="11"/>
      <c r="O12" s="11"/>
      <c r="P12" s="11"/>
      <c r="Q12" s="11"/>
      <c r="R12" s="11"/>
      <c r="S12" s="11"/>
      <c r="T12" s="11"/>
      <c r="U12" s="11"/>
      <c r="V12" s="11"/>
      <c r="W12" s="11"/>
    </row>
    <row r="13" spans="1:23" s="12" customFormat="1" x14ac:dyDescent="0.3">
      <c r="A13" s="11"/>
      <c r="B13" s="15">
        <v>30000</v>
      </c>
      <c r="D13" s="17" t="s">
        <v>50</v>
      </c>
      <c r="E13" s="15">
        <f>AVERAGE(B9:B19)</f>
        <v>50000</v>
      </c>
      <c r="F13" s="11"/>
      <c r="G13" s="41" t="s">
        <v>76</v>
      </c>
      <c r="H13" s="11"/>
      <c r="I13" s="11"/>
      <c r="J13" s="11"/>
      <c r="K13" s="11"/>
      <c r="L13" s="11"/>
      <c r="M13" s="11"/>
      <c r="N13" s="11"/>
      <c r="O13" s="11"/>
      <c r="P13" s="11"/>
      <c r="Q13" s="11"/>
      <c r="R13" s="11"/>
      <c r="S13" s="11"/>
      <c r="T13" s="11"/>
      <c r="U13" s="11"/>
      <c r="V13" s="11"/>
      <c r="W13" s="11"/>
    </row>
    <row r="14" spans="1:23" s="12" customFormat="1" x14ac:dyDescent="0.3">
      <c r="A14" s="11"/>
      <c r="B14" s="15">
        <v>33000</v>
      </c>
      <c r="D14" s="17"/>
      <c r="E14" s="11"/>
      <c r="F14" s="11"/>
      <c r="G14" s="11"/>
      <c r="H14" s="11"/>
      <c r="I14" s="11"/>
      <c r="J14" s="11"/>
      <c r="K14" s="11"/>
      <c r="L14" s="11"/>
      <c r="M14" s="11"/>
      <c r="N14" s="11"/>
      <c r="O14" s="11"/>
      <c r="P14" s="11"/>
      <c r="Q14" s="11"/>
      <c r="R14" s="11"/>
      <c r="S14" s="11"/>
      <c r="T14" s="11"/>
      <c r="U14" s="11"/>
      <c r="V14" s="11"/>
      <c r="W14" s="11"/>
    </row>
    <row r="15" spans="1:23" s="12" customFormat="1" x14ac:dyDescent="0.3">
      <c r="A15" s="11"/>
      <c r="B15" s="15">
        <v>35000</v>
      </c>
      <c r="D15" s="17"/>
      <c r="E15" s="11"/>
      <c r="F15" s="11"/>
      <c r="G15" s="11"/>
      <c r="H15" s="11"/>
      <c r="I15" s="11"/>
      <c r="J15" s="11"/>
      <c r="K15" s="11"/>
      <c r="L15" s="11"/>
      <c r="M15" s="11"/>
      <c r="N15" s="11"/>
      <c r="O15" s="11"/>
      <c r="P15" s="11"/>
      <c r="Q15" s="11"/>
      <c r="R15" s="11"/>
      <c r="S15" s="11"/>
      <c r="T15" s="11"/>
      <c r="U15" s="11"/>
      <c r="V15" s="11"/>
      <c r="W15" s="11"/>
    </row>
    <row r="16" spans="1:23" s="12" customFormat="1" x14ac:dyDescent="0.3">
      <c r="A16" s="11"/>
      <c r="B16" s="15">
        <v>35000</v>
      </c>
      <c r="D16" s="17"/>
      <c r="E16" s="11"/>
      <c r="F16" s="11"/>
      <c r="G16" s="11"/>
      <c r="H16" s="11"/>
      <c r="I16" s="11"/>
      <c r="J16" s="11"/>
      <c r="K16" s="11"/>
      <c r="L16" s="11"/>
      <c r="M16" s="11"/>
      <c r="N16" s="11"/>
      <c r="O16" s="11"/>
      <c r="P16" s="11"/>
      <c r="Q16" s="11"/>
      <c r="R16" s="11"/>
      <c r="S16" s="11"/>
      <c r="T16" s="11"/>
      <c r="U16" s="11"/>
      <c r="V16" s="11"/>
      <c r="W16" s="11"/>
    </row>
    <row r="17" spans="1:23" s="12" customFormat="1" x14ac:dyDescent="0.3">
      <c r="A17" s="11"/>
      <c r="B17" s="15">
        <v>35000</v>
      </c>
      <c r="D17" s="17"/>
      <c r="E17" s="11"/>
      <c r="F17" s="11"/>
      <c r="G17" s="11"/>
      <c r="H17" s="11"/>
      <c r="I17" s="11"/>
      <c r="J17" s="11"/>
      <c r="K17" s="11"/>
      <c r="L17" s="11"/>
      <c r="M17" s="11"/>
      <c r="N17" s="11"/>
      <c r="O17" s="11"/>
      <c r="P17" s="11"/>
      <c r="Q17" s="11"/>
      <c r="R17" s="11"/>
      <c r="S17" s="11"/>
      <c r="T17" s="11"/>
      <c r="U17" s="11"/>
      <c r="V17" s="11"/>
      <c r="W17" s="11"/>
    </row>
    <row r="18" spans="1:23" s="12" customFormat="1" x14ac:dyDescent="0.3">
      <c r="A18" s="11"/>
      <c r="B18" s="15">
        <v>40000</v>
      </c>
      <c r="D18" s="17"/>
      <c r="E18" s="11"/>
      <c r="F18" s="11"/>
      <c r="G18" s="11"/>
      <c r="H18" s="11"/>
      <c r="I18" s="11"/>
      <c r="J18" s="11"/>
      <c r="K18" s="11"/>
      <c r="L18" s="11"/>
      <c r="M18" s="11"/>
      <c r="N18" s="11"/>
      <c r="O18" s="11"/>
      <c r="P18" s="11"/>
      <c r="Q18" s="11"/>
      <c r="R18" s="11"/>
      <c r="S18" s="11"/>
      <c r="T18" s="11"/>
      <c r="U18" s="11"/>
      <c r="V18" s="11"/>
      <c r="W18" s="11"/>
    </row>
    <row r="19" spans="1:23" s="12" customFormat="1" x14ac:dyDescent="0.3">
      <c r="A19" s="11"/>
      <c r="B19" s="15">
        <v>230000</v>
      </c>
      <c r="D19" s="17"/>
      <c r="E19" s="11"/>
      <c r="F19" s="11"/>
      <c r="G19" s="11"/>
      <c r="H19" s="11"/>
      <c r="I19" s="11"/>
      <c r="J19" s="11"/>
      <c r="K19" s="11"/>
      <c r="L19" s="11"/>
      <c r="M19" s="11"/>
      <c r="N19" s="11"/>
      <c r="O19" s="11"/>
      <c r="P19" s="11"/>
      <c r="Q19" s="11"/>
      <c r="R19" s="11"/>
      <c r="S19" s="11"/>
      <c r="T19" s="11"/>
      <c r="U19" s="11"/>
      <c r="V19" s="11"/>
      <c r="W19" s="11"/>
    </row>
    <row r="20" spans="1:23" ht="23" x14ac:dyDescent="0.5">
      <c r="A20" s="1"/>
      <c r="B20" s="1"/>
      <c r="C20" s="1"/>
      <c r="D20" s="18"/>
      <c r="E20" s="1"/>
      <c r="F20" s="1"/>
      <c r="G20" s="1"/>
      <c r="H20" s="1"/>
      <c r="I20" s="1"/>
      <c r="J20" s="1"/>
      <c r="K20" s="1"/>
      <c r="L20" s="1"/>
      <c r="M20" s="1"/>
      <c r="N20" s="1"/>
      <c r="O20" s="1"/>
      <c r="P20" s="1"/>
      <c r="Q20" s="1"/>
      <c r="R20" s="1"/>
      <c r="S20" s="1"/>
      <c r="T20" s="1"/>
      <c r="U20" s="1"/>
      <c r="V20" s="1"/>
      <c r="W20" s="1"/>
    </row>
    <row r="21" spans="1:23" ht="23" x14ac:dyDescent="0.5">
      <c r="D21" s="18"/>
      <c r="E21" s="1"/>
      <c r="F21" s="1"/>
      <c r="G21" s="1"/>
      <c r="H21" s="1"/>
      <c r="I21" s="1"/>
      <c r="J21" s="1"/>
      <c r="K21" s="1"/>
      <c r="L21" s="1"/>
      <c r="M21" s="1"/>
      <c r="N21" s="1"/>
      <c r="O21" s="1"/>
      <c r="P21" s="1"/>
      <c r="Q21" s="1"/>
      <c r="R21" s="1"/>
      <c r="S21" s="1"/>
      <c r="T21" s="1"/>
      <c r="U21" s="1"/>
      <c r="V21" s="1"/>
      <c r="W21" s="1"/>
    </row>
    <row r="22" spans="1:23" ht="23" x14ac:dyDescent="0.5">
      <c r="D22" s="18"/>
      <c r="E22" s="1"/>
      <c r="F22" s="1"/>
      <c r="G22" s="1"/>
      <c r="H22" s="1"/>
      <c r="I22" s="1"/>
      <c r="J22" s="1"/>
      <c r="K22" s="1"/>
      <c r="L22" s="1"/>
      <c r="M22" s="1"/>
      <c r="N22" s="1"/>
      <c r="O22" s="1"/>
      <c r="P22" s="1"/>
      <c r="Q22" s="1"/>
      <c r="R22" s="1"/>
      <c r="S22" s="1"/>
      <c r="T22" s="1"/>
      <c r="U22" s="1"/>
      <c r="V22" s="1"/>
      <c r="W22" s="1"/>
    </row>
    <row r="23" spans="1:23" ht="23" x14ac:dyDescent="0.5">
      <c r="D23" s="18"/>
      <c r="E23" s="1"/>
      <c r="F23" s="1"/>
      <c r="G23" s="1"/>
      <c r="H23" s="1"/>
      <c r="I23" s="1"/>
      <c r="J23" s="1"/>
      <c r="K23" s="1"/>
      <c r="L23" s="1"/>
      <c r="M23" s="1"/>
      <c r="N23" s="1"/>
      <c r="O23" s="1"/>
      <c r="P23" s="1"/>
      <c r="Q23" s="1"/>
      <c r="R23" s="1"/>
      <c r="S23" s="1"/>
      <c r="T23" s="1"/>
      <c r="U23" s="1"/>
      <c r="V23" s="1"/>
      <c r="W23" s="1"/>
    </row>
  </sheetData>
  <pageMargins left="0" right="0" top="0" bottom="0" header="0" footer="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625E0-232B-4524-BA8C-BF2C7B66D3EC}">
  <sheetPr>
    <outlinePr summaryBelow="0" summaryRight="0"/>
  </sheetPr>
  <dimension ref="A1:Y46"/>
  <sheetViews>
    <sheetView zoomScaleNormal="100" workbookViewId="0">
      <selection activeCell="J6" sqref="J6"/>
    </sheetView>
  </sheetViews>
  <sheetFormatPr defaultColWidth="14.453125" defaultRowHeight="12.5" x14ac:dyDescent="0.25"/>
  <cols>
    <col min="2" max="2" width="9.54296875" customWidth="1"/>
    <col min="3" max="3" width="16.54296875" bestFit="1" customWidth="1"/>
    <col min="4" max="4" width="9.54296875" customWidth="1"/>
    <col min="7" max="7" width="5.453125" bestFit="1" customWidth="1"/>
    <col min="8" max="8" width="12.54296875" style="22" bestFit="1" customWidth="1"/>
    <col min="9" max="9" width="3" customWidth="1"/>
    <col min="10" max="10" width="16.6328125" style="22" bestFit="1" customWidth="1"/>
  </cols>
  <sheetData>
    <row r="1" spans="1:25" ht="15.5" x14ac:dyDescent="0.35">
      <c r="A1" s="7" t="s">
        <v>44</v>
      </c>
    </row>
    <row r="2" spans="1:25" s="12" customFormat="1" x14ac:dyDescent="0.25">
      <c r="A2" s="11" t="s">
        <v>114</v>
      </c>
      <c r="H2" s="23"/>
      <c r="J2" s="23"/>
    </row>
    <row r="3" spans="1:25" s="12" customFormat="1" x14ac:dyDescent="0.25">
      <c r="H3" s="23"/>
      <c r="J3" s="23"/>
    </row>
    <row r="4" spans="1:25" s="12" customFormat="1" ht="13" x14ac:dyDescent="0.3">
      <c r="A4" s="10" t="s">
        <v>0</v>
      </c>
      <c r="B4" s="19" t="s">
        <v>104</v>
      </c>
      <c r="D4" s="11" t="s">
        <v>52</v>
      </c>
      <c r="H4" s="23"/>
      <c r="J4" s="23"/>
    </row>
    <row r="5" spans="1:25" s="12" customFormat="1" ht="13" x14ac:dyDescent="0.3">
      <c r="B5" s="19" t="s">
        <v>105</v>
      </c>
      <c r="D5" s="11" t="s">
        <v>53</v>
      </c>
      <c r="H5" s="23"/>
      <c r="J5" s="23"/>
    </row>
    <row r="6" spans="1:25" s="12" customFormat="1" ht="13" x14ac:dyDescent="0.3">
      <c r="B6" s="19" t="s">
        <v>106</v>
      </c>
      <c r="D6" s="11" t="s">
        <v>54</v>
      </c>
      <c r="H6" s="23"/>
      <c r="J6" s="23"/>
    </row>
    <row r="7" spans="1:25" s="12" customFormat="1" ht="13" x14ac:dyDescent="0.3">
      <c r="B7" s="19" t="s">
        <v>107</v>
      </c>
      <c r="D7" s="11" t="s">
        <v>55</v>
      </c>
      <c r="H7" s="23"/>
      <c r="J7" s="23"/>
    </row>
    <row r="8" spans="1:25" s="12" customFormat="1" x14ac:dyDescent="0.25">
      <c r="H8" s="23"/>
      <c r="J8" s="23"/>
    </row>
    <row r="9" spans="1:25" s="12" customFormat="1" ht="13" x14ac:dyDescent="0.3">
      <c r="A9" s="10"/>
      <c r="B9" s="11"/>
      <c r="C9" s="11"/>
      <c r="D9" s="11"/>
      <c r="E9" s="11"/>
      <c r="F9" s="11"/>
      <c r="G9" s="11"/>
      <c r="H9" s="20"/>
      <c r="I9" s="11"/>
      <c r="J9" s="20"/>
      <c r="K9" s="11"/>
      <c r="L9" s="11"/>
      <c r="M9" s="11"/>
      <c r="N9" s="11"/>
      <c r="O9" s="11"/>
      <c r="P9" s="11"/>
      <c r="Q9" s="11"/>
      <c r="R9" s="11"/>
      <c r="S9" s="11"/>
      <c r="T9" s="11"/>
      <c r="U9" s="11"/>
      <c r="V9" s="11"/>
      <c r="W9" s="11"/>
      <c r="X9" s="11"/>
      <c r="Y9" s="11"/>
    </row>
    <row r="10" spans="1:25" s="12" customFormat="1" ht="13" x14ac:dyDescent="0.3">
      <c r="A10" s="11"/>
      <c r="B10" s="26" t="s">
        <v>12</v>
      </c>
      <c r="C10" s="27" t="s">
        <v>112</v>
      </c>
      <c r="D10" s="27" t="s">
        <v>113</v>
      </c>
      <c r="E10" s="20"/>
      <c r="F10" s="11"/>
      <c r="G10" s="11"/>
      <c r="H10" s="20"/>
      <c r="I10" s="11"/>
      <c r="J10" s="20"/>
      <c r="K10" s="11"/>
      <c r="L10" s="11"/>
      <c r="M10" s="11"/>
      <c r="N10" s="11"/>
      <c r="O10" s="11"/>
      <c r="P10" s="11"/>
      <c r="Q10" s="11"/>
      <c r="R10" s="11"/>
      <c r="S10" s="11"/>
      <c r="T10" s="11"/>
      <c r="U10" s="11"/>
      <c r="V10" s="11"/>
      <c r="W10" s="11"/>
      <c r="X10" s="11"/>
      <c r="Y10" s="11"/>
    </row>
    <row r="11" spans="1:25" s="12" customFormat="1" ht="13" x14ac:dyDescent="0.3">
      <c r="A11" s="11"/>
      <c r="B11" s="21">
        <v>2</v>
      </c>
      <c r="C11" s="21">
        <f t="shared" ref="C11:C16" si="0">B11-$B$19</f>
        <v>-9</v>
      </c>
      <c r="D11" s="21">
        <f t="shared" ref="D11:D16" si="1">C11^2</f>
        <v>81</v>
      </c>
      <c r="E11" s="11"/>
      <c r="F11" s="11"/>
      <c r="G11" s="25" t="s">
        <v>64</v>
      </c>
      <c r="H11" s="20">
        <f>MAX(B11:B16)-MIN(B11:B16)</f>
        <v>20</v>
      </c>
      <c r="I11" s="11"/>
      <c r="J11" s="42"/>
      <c r="K11" s="11"/>
      <c r="L11" s="11"/>
      <c r="M11" s="11"/>
      <c r="N11" s="11"/>
      <c r="O11" s="11"/>
      <c r="P11" s="11"/>
      <c r="Q11" s="11"/>
      <c r="R11" s="11"/>
      <c r="S11" s="11"/>
      <c r="T11" s="11"/>
      <c r="U11" s="11"/>
      <c r="V11" s="11"/>
      <c r="W11" s="11"/>
      <c r="X11" s="11"/>
      <c r="Y11" s="11"/>
    </row>
    <row r="12" spans="1:25" s="12" customFormat="1" x14ac:dyDescent="0.25">
      <c r="A12" s="11"/>
      <c r="B12" s="21">
        <v>4</v>
      </c>
      <c r="C12" s="21">
        <f t="shared" si="0"/>
        <v>-7</v>
      </c>
      <c r="D12" s="21">
        <f t="shared" si="1"/>
        <v>49</v>
      </c>
      <c r="E12" s="11"/>
      <c r="F12" s="11"/>
      <c r="G12" s="11"/>
      <c r="H12" s="20"/>
      <c r="I12" s="11"/>
      <c r="J12" s="20"/>
      <c r="K12" s="11"/>
      <c r="L12" s="11"/>
      <c r="M12" s="11"/>
      <c r="N12" s="11"/>
      <c r="O12" s="11"/>
      <c r="P12" s="11"/>
      <c r="Q12" s="11"/>
      <c r="R12" s="11"/>
      <c r="S12" s="11"/>
      <c r="T12" s="11"/>
      <c r="U12" s="11"/>
      <c r="V12" s="11"/>
      <c r="W12" s="11"/>
      <c r="X12" s="11"/>
      <c r="Y12" s="11"/>
    </row>
    <row r="13" spans="1:25" s="12" customFormat="1" ht="13" x14ac:dyDescent="0.3">
      <c r="A13" s="11"/>
      <c r="B13" s="21">
        <v>10</v>
      </c>
      <c r="C13" s="21">
        <f t="shared" si="0"/>
        <v>-1</v>
      </c>
      <c r="D13" s="21">
        <f t="shared" si="1"/>
        <v>1</v>
      </c>
      <c r="E13" s="11"/>
      <c r="F13" s="11"/>
      <c r="H13" s="26" t="s">
        <v>56</v>
      </c>
      <c r="I13" s="10"/>
      <c r="J13" s="26" t="s">
        <v>57</v>
      </c>
      <c r="K13" s="11"/>
      <c r="L13" s="11"/>
      <c r="M13" s="11"/>
      <c r="N13" s="11"/>
      <c r="O13" s="11"/>
      <c r="P13" s="11"/>
      <c r="Q13" s="11"/>
      <c r="R13" s="11"/>
      <c r="S13" s="11"/>
      <c r="T13" s="11"/>
      <c r="U13" s="11"/>
      <c r="V13" s="11"/>
      <c r="W13" s="11"/>
      <c r="X13" s="11"/>
      <c r="Y13" s="11"/>
    </row>
    <row r="14" spans="1:25" s="12" customFormat="1" ht="13" x14ac:dyDescent="0.3">
      <c r="A14" s="11"/>
      <c r="B14" s="21">
        <v>12</v>
      </c>
      <c r="C14" s="21">
        <f t="shared" si="0"/>
        <v>1</v>
      </c>
      <c r="D14" s="21">
        <f t="shared" si="1"/>
        <v>1</v>
      </c>
      <c r="E14" s="11"/>
      <c r="F14" s="11"/>
      <c r="G14" s="25" t="s">
        <v>13</v>
      </c>
      <c r="H14" s="24">
        <f>VARP(B11:B16)</f>
        <v>46.333333333333336</v>
      </c>
      <c r="I14" s="11"/>
      <c r="J14" s="24">
        <f>SUM(D11:D16)/6</f>
        <v>46.333333333333336</v>
      </c>
      <c r="L14" s="11"/>
      <c r="M14" s="11"/>
      <c r="N14" s="11"/>
      <c r="O14" s="11"/>
      <c r="P14" s="11"/>
      <c r="Q14" s="11"/>
      <c r="R14" s="11"/>
      <c r="S14" s="11"/>
      <c r="T14" s="11"/>
      <c r="U14" s="11"/>
      <c r="V14" s="11"/>
      <c r="W14" s="11"/>
      <c r="X14" s="11"/>
      <c r="Y14" s="11"/>
    </row>
    <row r="15" spans="1:25" s="12" customFormat="1" ht="13" x14ac:dyDescent="0.3">
      <c r="A15" s="11"/>
      <c r="B15" s="21">
        <v>16</v>
      </c>
      <c r="C15" s="21">
        <f t="shared" si="0"/>
        <v>5</v>
      </c>
      <c r="D15" s="21">
        <f t="shared" si="1"/>
        <v>25</v>
      </c>
      <c r="E15" s="11"/>
      <c r="F15" s="11"/>
      <c r="G15" s="25" t="s">
        <v>14</v>
      </c>
      <c r="H15" s="24">
        <f>_xlfn.VAR.S(B11:B16)</f>
        <v>55.6</v>
      </c>
      <c r="I15" s="11"/>
      <c r="J15" s="20">
        <f>SUM(D11:D16)/5</f>
        <v>55.6</v>
      </c>
      <c r="L15" s="11"/>
      <c r="M15" s="11"/>
      <c r="N15" s="11"/>
      <c r="O15" s="11"/>
      <c r="P15" s="11"/>
      <c r="Q15" s="11"/>
      <c r="R15" s="11"/>
      <c r="S15" s="11"/>
      <c r="T15" s="11"/>
      <c r="U15" s="11"/>
      <c r="V15" s="11"/>
      <c r="W15" s="11"/>
      <c r="X15" s="11"/>
      <c r="Y15" s="11"/>
    </row>
    <row r="16" spans="1:25" s="12" customFormat="1" ht="13" x14ac:dyDescent="0.3">
      <c r="A16" s="11"/>
      <c r="B16" s="21">
        <v>22</v>
      </c>
      <c r="C16" s="21">
        <f t="shared" si="0"/>
        <v>11</v>
      </c>
      <c r="D16" s="21">
        <f t="shared" si="1"/>
        <v>121</v>
      </c>
      <c r="E16" s="11"/>
      <c r="F16" s="11"/>
      <c r="G16" s="25" t="s">
        <v>15</v>
      </c>
      <c r="H16" s="24">
        <f>_xlfn.STDEV.P(B11:B16)</f>
        <v>6.8068592855540455</v>
      </c>
      <c r="I16" s="11"/>
      <c r="J16" s="24">
        <f t="shared" ref="J16:J17" si="2">SQRT(J14)</f>
        <v>6.8068592855540455</v>
      </c>
      <c r="L16" s="11"/>
      <c r="M16" s="11"/>
      <c r="N16" s="11"/>
      <c r="O16" s="11"/>
      <c r="P16" s="11"/>
      <c r="Q16" s="11"/>
      <c r="R16" s="11"/>
      <c r="S16" s="11"/>
      <c r="T16" s="11"/>
      <c r="U16" s="11"/>
      <c r="V16" s="11"/>
      <c r="W16" s="11"/>
      <c r="X16" s="11"/>
      <c r="Y16" s="11"/>
    </row>
    <row r="17" spans="1:25" s="12" customFormat="1" ht="13" x14ac:dyDescent="0.3">
      <c r="A17" s="11"/>
      <c r="B17" s="11"/>
      <c r="C17" s="11"/>
      <c r="D17" s="11"/>
      <c r="E17" s="11"/>
      <c r="F17" s="11"/>
      <c r="G17" s="25" t="s">
        <v>16</v>
      </c>
      <c r="H17" s="24">
        <f>_xlfn.STDEV.S(B11:B16)</f>
        <v>7.4565407529228995</v>
      </c>
      <c r="I17" s="11"/>
      <c r="J17" s="24">
        <f t="shared" si="2"/>
        <v>7.4565407529228995</v>
      </c>
      <c r="L17" s="11"/>
      <c r="M17" s="11"/>
      <c r="N17" s="11"/>
      <c r="O17" s="11"/>
      <c r="P17" s="11"/>
      <c r="Q17" s="11"/>
      <c r="R17" s="11"/>
      <c r="S17" s="11"/>
      <c r="T17" s="11"/>
      <c r="U17" s="11"/>
      <c r="V17" s="11"/>
      <c r="W17" s="11"/>
      <c r="X17" s="11"/>
      <c r="Y17" s="11"/>
    </row>
    <row r="18" spans="1:25" s="12" customFormat="1" ht="13" x14ac:dyDescent="0.3">
      <c r="A18" s="25" t="s">
        <v>45</v>
      </c>
      <c r="B18" s="11"/>
      <c r="C18" s="11">
        <f t="shared" ref="C18:D18" si="3">SUM(C11:C16)</f>
        <v>0</v>
      </c>
      <c r="D18" s="11">
        <f t="shared" si="3"/>
        <v>278</v>
      </c>
      <c r="E18" s="11"/>
      <c r="F18" s="11"/>
      <c r="G18" s="11"/>
      <c r="H18" s="20"/>
      <c r="I18" s="21"/>
      <c r="J18" s="20"/>
      <c r="K18" s="11"/>
      <c r="L18" s="11"/>
      <c r="M18" s="11"/>
      <c r="N18" s="11"/>
      <c r="O18" s="11"/>
      <c r="P18" s="11"/>
      <c r="Q18" s="11"/>
      <c r="R18" s="11"/>
      <c r="S18" s="11"/>
      <c r="T18" s="11"/>
      <c r="U18" s="11"/>
      <c r="V18" s="11"/>
      <c r="W18" s="11"/>
      <c r="X18" s="11"/>
      <c r="Y18" s="11"/>
    </row>
    <row r="19" spans="1:25" s="12" customFormat="1" ht="13" x14ac:dyDescent="0.3">
      <c r="A19" s="25" t="s">
        <v>46</v>
      </c>
      <c r="B19" s="21">
        <f>AVERAGE(B11:B16)</f>
        <v>11</v>
      </c>
      <c r="C19" s="11"/>
      <c r="D19" s="11"/>
      <c r="E19" s="11"/>
      <c r="F19" s="11"/>
      <c r="G19" s="11"/>
      <c r="H19" s="20"/>
      <c r="I19" s="11"/>
      <c r="J19" s="20"/>
      <c r="K19" s="11"/>
      <c r="L19" s="11"/>
      <c r="M19" s="11"/>
      <c r="N19" s="11"/>
      <c r="O19" s="11"/>
      <c r="P19" s="11"/>
      <c r="Q19" s="11"/>
      <c r="R19" s="11"/>
      <c r="S19" s="11"/>
      <c r="T19" s="11"/>
      <c r="U19" s="11"/>
      <c r="V19" s="11"/>
      <c r="W19" s="11"/>
      <c r="X19" s="11"/>
      <c r="Y19" s="11"/>
    </row>
    <row r="20" spans="1:25" ht="22.5" x14ac:dyDescent="0.45">
      <c r="G20" s="1"/>
      <c r="H20" s="4"/>
      <c r="I20" s="1"/>
      <c r="J20" s="4"/>
      <c r="K20" s="1"/>
      <c r="L20" s="1"/>
      <c r="M20" s="1"/>
      <c r="N20" s="1"/>
      <c r="O20" s="1"/>
      <c r="P20" s="1"/>
      <c r="Q20" s="1"/>
      <c r="R20" s="1"/>
      <c r="S20" s="1"/>
      <c r="T20" s="1"/>
      <c r="U20" s="1"/>
      <c r="V20" s="1"/>
      <c r="W20" s="1"/>
      <c r="X20" s="1"/>
      <c r="Y20" s="1"/>
    </row>
    <row r="21" spans="1:25" ht="22.5" x14ac:dyDescent="0.45">
      <c r="G21" s="1"/>
      <c r="H21" s="4"/>
      <c r="I21" s="1"/>
      <c r="J21" s="4"/>
      <c r="K21" s="1"/>
      <c r="L21" s="1"/>
      <c r="M21" s="1"/>
      <c r="N21" s="1"/>
      <c r="O21" s="1"/>
      <c r="P21" s="1"/>
      <c r="Q21" s="1"/>
      <c r="R21" s="1"/>
      <c r="S21" s="1"/>
      <c r="T21" s="1"/>
      <c r="U21" s="1"/>
      <c r="V21" s="1"/>
      <c r="W21" s="1"/>
      <c r="X21" s="1"/>
      <c r="Y21" s="1"/>
    </row>
    <row r="22" spans="1:25" ht="22.5" x14ac:dyDescent="0.45">
      <c r="G22" s="1"/>
      <c r="H22" s="4"/>
      <c r="I22" s="1"/>
      <c r="J22" s="4"/>
      <c r="K22" s="1"/>
      <c r="L22" s="1"/>
      <c r="M22" s="1"/>
      <c r="N22" s="1"/>
      <c r="O22" s="1"/>
      <c r="P22" s="1"/>
      <c r="Q22" s="1"/>
      <c r="R22" s="1"/>
      <c r="S22" s="1"/>
      <c r="T22" s="1"/>
      <c r="U22" s="1"/>
      <c r="V22" s="1"/>
      <c r="W22" s="1"/>
      <c r="X22" s="1"/>
      <c r="Y22" s="1"/>
    </row>
    <row r="23" spans="1:25" ht="22.5" x14ac:dyDescent="0.45">
      <c r="G23" s="1"/>
      <c r="H23" s="4"/>
      <c r="I23" s="1"/>
      <c r="J23" s="4"/>
      <c r="K23" s="1"/>
      <c r="L23" s="1"/>
      <c r="M23" s="1"/>
      <c r="N23" s="1"/>
      <c r="O23" s="1"/>
      <c r="P23" s="1"/>
      <c r="Q23" s="1"/>
      <c r="R23" s="1"/>
      <c r="S23" s="1"/>
      <c r="T23" s="1"/>
      <c r="U23" s="1"/>
      <c r="V23" s="1"/>
      <c r="W23" s="1"/>
      <c r="X23" s="1"/>
      <c r="Y23" s="1"/>
    </row>
    <row r="24" spans="1:25" ht="22.5" x14ac:dyDescent="0.45">
      <c r="G24" s="1"/>
      <c r="H24" s="4"/>
      <c r="I24" s="1"/>
      <c r="J24" s="4"/>
      <c r="K24" s="1"/>
      <c r="L24" s="1"/>
      <c r="M24" s="1"/>
      <c r="N24" s="1"/>
      <c r="O24" s="1"/>
      <c r="P24" s="1"/>
      <c r="Q24" s="1"/>
      <c r="R24" s="1"/>
      <c r="S24" s="1"/>
      <c r="T24" s="1"/>
      <c r="U24" s="1"/>
      <c r="V24" s="1"/>
      <c r="W24" s="1"/>
      <c r="X24" s="1"/>
      <c r="Y24" s="1"/>
    </row>
    <row r="25" spans="1:25" ht="22.5" x14ac:dyDescent="0.45">
      <c r="G25" s="1"/>
      <c r="H25" s="4"/>
      <c r="I25" s="1"/>
      <c r="J25" s="4"/>
      <c r="K25" s="1"/>
      <c r="L25" s="1"/>
      <c r="M25" s="1"/>
      <c r="N25" s="1"/>
      <c r="O25" s="1"/>
      <c r="P25" s="1"/>
      <c r="Q25" s="1"/>
      <c r="R25" s="1"/>
      <c r="S25" s="1"/>
      <c r="T25" s="1"/>
      <c r="U25" s="1"/>
      <c r="V25" s="1"/>
      <c r="W25" s="1"/>
      <c r="X25" s="1"/>
      <c r="Y25" s="1"/>
    </row>
    <row r="26" spans="1:25" ht="22.5" x14ac:dyDescent="0.45">
      <c r="G26" s="1"/>
      <c r="H26" s="4"/>
      <c r="I26" s="1"/>
      <c r="J26" s="4"/>
      <c r="K26" s="1"/>
      <c r="L26" s="1"/>
      <c r="M26" s="1"/>
      <c r="N26" s="1"/>
      <c r="O26" s="1"/>
      <c r="P26" s="1"/>
      <c r="Q26" s="1"/>
      <c r="R26" s="1"/>
      <c r="S26" s="1"/>
      <c r="T26" s="1"/>
      <c r="U26" s="1"/>
      <c r="V26" s="1"/>
      <c r="W26" s="1"/>
      <c r="X26" s="1"/>
      <c r="Y26" s="1"/>
    </row>
    <row r="27" spans="1:25" ht="22.5" x14ac:dyDescent="0.45">
      <c r="G27" s="1"/>
      <c r="H27" s="4"/>
      <c r="I27" s="1"/>
      <c r="J27" s="4"/>
      <c r="K27" s="1"/>
      <c r="L27" s="1"/>
      <c r="M27" s="1"/>
      <c r="N27" s="1"/>
      <c r="O27" s="1"/>
      <c r="P27" s="1"/>
      <c r="Q27" s="1"/>
      <c r="R27" s="1"/>
      <c r="S27" s="1"/>
      <c r="T27" s="1"/>
      <c r="U27" s="1"/>
      <c r="V27" s="1"/>
      <c r="W27" s="1"/>
      <c r="X27" s="1"/>
      <c r="Y27" s="1"/>
    </row>
    <row r="28" spans="1:25" x14ac:dyDescent="0.25">
      <c r="A28" s="3"/>
      <c r="B28" s="2"/>
      <c r="C28" s="2"/>
      <c r="D28" s="2"/>
      <c r="E28" s="3"/>
      <c r="F28" s="3"/>
      <c r="G28" s="3"/>
    </row>
    <row r="29" spans="1:25" x14ac:dyDescent="0.25">
      <c r="A29" s="3"/>
      <c r="B29" s="2"/>
      <c r="C29" s="2"/>
      <c r="D29" s="2"/>
      <c r="E29" s="3"/>
      <c r="F29" s="3"/>
      <c r="G29" s="3"/>
    </row>
    <row r="30" spans="1:25" x14ac:dyDescent="0.25">
      <c r="A30" s="3"/>
      <c r="B30" s="2"/>
      <c r="C30" s="2"/>
      <c r="D30" s="2"/>
      <c r="E30" s="3"/>
      <c r="F30" s="2"/>
      <c r="G30" s="2"/>
    </row>
    <row r="31" spans="1:25" x14ac:dyDescent="0.25">
      <c r="A31" s="3"/>
      <c r="B31" s="2"/>
      <c r="C31" s="2"/>
      <c r="D31" s="2"/>
      <c r="E31" s="3"/>
      <c r="F31" s="3"/>
      <c r="G31" s="3"/>
    </row>
    <row r="32" spans="1:25" x14ac:dyDescent="0.25">
      <c r="A32" s="3"/>
      <c r="B32" s="2"/>
      <c r="C32" s="2"/>
      <c r="D32" s="2"/>
      <c r="E32" s="3"/>
      <c r="F32" s="3"/>
      <c r="G32" s="3"/>
    </row>
    <row r="33" spans="1:7" x14ac:dyDescent="0.25">
      <c r="A33" s="3"/>
      <c r="B33" s="2"/>
      <c r="C33" s="2"/>
      <c r="D33" s="2"/>
      <c r="E33" s="3"/>
      <c r="F33" s="3"/>
      <c r="G33" s="3"/>
    </row>
    <row r="34" spans="1:7" x14ac:dyDescent="0.25">
      <c r="A34" s="3"/>
      <c r="B34" s="2"/>
      <c r="C34" s="2"/>
      <c r="D34" s="2"/>
      <c r="E34" s="3"/>
      <c r="F34" s="3"/>
      <c r="G34" s="3"/>
    </row>
    <row r="35" spans="1:7" x14ac:dyDescent="0.25">
      <c r="A35" s="3"/>
      <c r="B35" s="2"/>
      <c r="C35" s="2"/>
      <c r="D35" s="2"/>
      <c r="E35" s="3"/>
      <c r="F35" s="3"/>
      <c r="G35" s="3"/>
    </row>
    <row r="36" spans="1:7" x14ac:dyDescent="0.25">
      <c r="A36" s="3"/>
      <c r="B36" s="2"/>
      <c r="C36" s="2"/>
      <c r="D36" s="2"/>
      <c r="E36" s="3"/>
      <c r="F36" s="3"/>
      <c r="G36" s="3"/>
    </row>
    <row r="37" spans="1:7" x14ac:dyDescent="0.25">
      <c r="A37" s="3"/>
      <c r="B37" s="2"/>
      <c r="C37" s="2"/>
      <c r="D37" s="2"/>
      <c r="E37" s="3"/>
      <c r="F37" s="3"/>
      <c r="G37" s="3"/>
    </row>
    <row r="38" spans="1:7" x14ac:dyDescent="0.25">
      <c r="A38" s="3"/>
      <c r="B38" s="2"/>
      <c r="C38" s="2"/>
      <c r="D38" s="2"/>
      <c r="E38" s="3"/>
      <c r="F38" s="3"/>
      <c r="G38" s="3"/>
    </row>
    <row r="39" spans="1:7" x14ac:dyDescent="0.25">
      <c r="A39" s="3"/>
      <c r="B39" s="2"/>
      <c r="C39" s="2"/>
      <c r="D39" s="2"/>
      <c r="E39" s="3"/>
      <c r="F39" s="3"/>
      <c r="G39" s="3"/>
    </row>
    <row r="40" spans="1:7" x14ac:dyDescent="0.25">
      <c r="A40" s="3"/>
      <c r="B40" s="2"/>
      <c r="C40" s="3"/>
      <c r="D40" s="3"/>
      <c r="E40" s="3"/>
      <c r="F40" s="3"/>
      <c r="G40" s="3"/>
    </row>
    <row r="41" spans="1:7" x14ac:dyDescent="0.25">
      <c r="A41" s="3"/>
      <c r="B41" s="2"/>
      <c r="C41" s="2"/>
      <c r="D41" s="2"/>
      <c r="E41" s="3"/>
      <c r="F41" s="2"/>
      <c r="G41" s="3"/>
    </row>
    <row r="42" spans="1:7" x14ac:dyDescent="0.25">
      <c r="A42" s="3"/>
      <c r="B42" s="2"/>
      <c r="C42" s="3"/>
      <c r="D42" s="2"/>
      <c r="E42" s="3"/>
      <c r="F42" s="2"/>
      <c r="G42" s="3"/>
    </row>
    <row r="43" spans="1:7" x14ac:dyDescent="0.25">
      <c r="A43" s="3"/>
      <c r="B43" s="2"/>
      <c r="C43" s="3"/>
      <c r="D43" s="2"/>
      <c r="E43" s="3"/>
      <c r="F43" s="2"/>
      <c r="G43" s="3"/>
    </row>
    <row r="44" spans="1:7" x14ac:dyDescent="0.25">
      <c r="A44" s="3"/>
      <c r="B44" s="2"/>
      <c r="C44" s="3"/>
      <c r="D44" s="3"/>
      <c r="E44" s="3"/>
      <c r="F44" s="3"/>
      <c r="G44" s="3"/>
    </row>
    <row r="45" spans="1:7" x14ac:dyDescent="0.25">
      <c r="A45" s="3"/>
      <c r="B45" s="3"/>
      <c r="C45" s="3"/>
      <c r="D45" s="3"/>
      <c r="E45" s="3"/>
      <c r="F45" s="3"/>
      <c r="G45" s="3"/>
    </row>
    <row r="46" spans="1:7" x14ac:dyDescent="0.25">
      <c r="A46" s="3"/>
      <c r="B46" s="3"/>
      <c r="C46" s="3"/>
      <c r="D46" s="3"/>
      <c r="E46" s="3"/>
      <c r="F46" s="3"/>
      <c r="G46" s="3"/>
    </row>
  </sheetData>
  <pageMargins left="0" right="0" top="0" bottom="0" header="0" footer="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X31"/>
  <sheetViews>
    <sheetView workbookViewId="0">
      <selection activeCell="A3" sqref="A3"/>
    </sheetView>
  </sheetViews>
  <sheetFormatPr defaultColWidth="11" defaultRowHeight="12.5" x14ac:dyDescent="0.25"/>
  <cols>
    <col min="2" max="2" width="15.1796875" customWidth="1"/>
    <col min="3" max="3" width="20" customWidth="1"/>
    <col min="4" max="4" width="7" customWidth="1"/>
    <col min="7" max="7" width="4" customWidth="1"/>
    <col min="8" max="9" width="10.36328125" customWidth="1"/>
  </cols>
  <sheetData>
    <row r="1" spans="1:24" ht="15.5" x14ac:dyDescent="0.35">
      <c r="A1" s="7" t="s">
        <v>60</v>
      </c>
    </row>
    <row r="2" spans="1:24" s="12" customFormat="1" x14ac:dyDescent="0.25">
      <c r="A2" s="12" t="s">
        <v>91</v>
      </c>
    </row>
    <row r="3" spans="1:24" s="12" customFormat="1" x14ac:dyDescent="0.25"/>
    <row r="4" spans="1:24" s="12" customFormat="1" ht="13" x14ac:dyDescent="0.3">
      <c r="A4" s="10" t="s">
        <v>0</v>
      </c>
      <c r="B4" s="19" t="s">
        <v>103</v>
      </c>
    </row>
    <row r="5" spans="1:24" s="12" customFormat="1" x14ac:dyDescent="0.25"/>
    <row r="6" spans="1:24" s="12" customFormat="1" x14ac:dyDescent="0.25"/>
    <row r="7" spans="1:24" s="12" customFormat="1" ht="13" x14ac:dyDescent="0.3">
      <c r="A7" s="11"/>
      <c r="B7" s="10" t="s">
        <v>17</v>
      </c>
      <c r="C7" s="10" t="s">
        <v>18</v>
      </c>
      <c r="D7" s="11"/>
      <c r="E7" s="11"/>
      <c r="F7" s="11"/>
      <c r="G7" s="11"/>
      <c r="H7" s="11"/>
      <c r="I7" s="11"/>
      <c r="J7" s="11"/>
      <c r="K7" s="11"/>
      <c r="L7" s="11"/>
      <c r="M7" s="11"/>
      <c r="N7" s="11"/>
      <c r="O7" s="11"/>
      <c r="P7" s="11"/>
      <c r="Q7" s="11"/>
      <c r="R7" s="11"/>
      <c r="S7" s="11"/>
      <c r="T7" s="11"/>
      <c r="U7" s="11"/>
      <c r="V7" s="11"/>
      <c r="W7" s="11"/>
      <c r="X7" s="11"/>
    </row>
    <row r="8" spans="1:24" s="12" customFormat="1" x14ac:dyDescent="0.25">
      <c r="A8" s="11"/>
      <c r="B8" s="11">
        <v>5.2</v>
      </c>
      <c r="C8" s="11">
        <v>19</v>
      </c>
      <c r="D8" s="11"/>
      <c r="E8" s="11"/>
      <c r="F8" s="11"/>
      <c r="G8" s="11"/>
      <c r="H8" s="11"/>
      <c r="I8" s="11"/>
      <c r="J8" s="11"/>
      <c r="K8" s="11"/>
      <c r="L8" s="11"/>
      <c r="M8" s="11"/>
      <c r="N8" s="11"/>
      <c r="O8" s="11"/>
      <c r="P8" s="11"/>
      <c r="Q8" s="11"/>
      <c r="R8" s="11"/>
      <c r="S8" s="11"/>
      <c r="T8" s="11"/>
      <c r="U8" s="11"/>
      <c r="V8" s="11"/>
      <c r="W8" s="11"/>
      <c r="X8" s="11"/>
    </row>
    <row r="9" spans="1:24" s="12" customFormat="1" ht="13" x14ac:dyDescent="0.3">
      <c r="A9" s="11"/>
      <c r="B9" s="11">
        <v>3.4</v>
      </c>
      <c r="C9" s="11">
        <v>14</v>
      </c>
      <c r="D9" s="11"/>
      <c r="E9" s="21" t="s">
        <v>58</v>
      </c>
      <c r="F9" s="29">
        <f>CORREL(B8:B23,C8:C23)</f>
        <v>-0.80447131470781463</v>
      </c>
      <c r="G9" s="11"/>
      <c r="H9" s="54"/>
      <c r="I9" s="11"/>
      <c r="J9" s="11"/>
      <c r="K9" s="11"/>
      <c r="L9" s="11"/>
      <c r="M9" s="11"/>
      <c r="N9" s="11"/>
      <c r="O9" s="11"/>
      <c r="P9" s="11"/>
      <c r="Q9" s="11"/>
      <c r="R9" s="11"/>
      <c r="S9" s="11"/>
      <c r="T9" s="11"/>
      <c r="U9" s="11"/>
      <c r="V9" s="11"/>
      <c r="W9" s="11"/>
      <c r="X9" s="11"/>
    </row>
    <row r="10" spans="1:24" s="12" customFormat="1" x14ac:dyDescent="0.25">
      <c r="A10" s="11"/>
      <c r="B10" s="11">
        <v>6.1</v>
      </c>
      <c r="C10" s="11">
        <v>17</v>
      </c>
      <c r="D10" s="11"/>
      <c r="E10" s="11"/>
      <c r="F10" s="11"/>
      <c r="G10" s="11"/>
      <c r="I10" s="11"/>
      <c r="J10" s="11"/>
      <c r="K10" s="11"/>
      <c r="L10" s="11"/>
      <c r="M10" s="11"/>
      <c r="N10" s="11"/>
      <c r="O10" s="11"/>
      <c r="P10" s="11"/>
      <c r="Q10" s="11"/>
      <c r="R10" s="11"/>
      <c r="S10" s="11"/>
      <c r="T10" s="11"/>
      <c r="U10" s="11"/>
      <c r="V10" s="11"/>
      <c r="W10" s="11"/>
      <c r="X10" s="11"/>
    </row>
    <row r="11" spans="1:24" s="12" customFormat="1" x14ac:dyDescent="0.25">
      <c r="A11" s="11"/>
      <c r="B11" s="11">
        <v>5</v>
      </c>
      <c r="C11" s="11">
        <v>9</v>
      </c>
      <c r="D11" s="11"/>
      <c r="G11" s="11"/>
      <c r="H11" s="11"/>
      <c r="I11" s="11"/>
      <c r="J11" s="11"/>
      <c r="K11" s="11"/>
      <c r="L11" s="11"/>
      <c r="M11" s="11"/>
      <c r="N11" s="11"/>
      <c r="O11" s="11"/>
      <c r="P11" s="11"/>
      <c r="Q11" s="11"/>
      <c r="R11" s="11"/>
      <c r="S11" s="11"/>
      <c r="T11" s="11"/>
      <c r="U11" s="11"/>
      <c r="V11" s="11"/>
      <c r="W11" s="11"/>
      <c r="X11" s="11"/>
    </row>
    <row r="12" spans="1:24" s="12" customFormat="1" x14ac:dyDescent="0.25">
      <c r="A12" s="11"/>
      <c r="B12" s="11">
        <v>4.2</v>
      </c>
      <c r="C12" s="11">
        <v>12</v>
      </c>
      <c r="D12" s="11"/>
      <c r="E12" s="11"/>
      <c r="F12" s="11"/>
      <c r="G12" s="11"/>
      <c r="H12" s="11"/>
      <c r="I12" s="11"/>
      <c r="J12" s="11"/>
      <c r="K12" s="11"/>
      <c r="L12" s="11"/>
      <c r="M12" s="11"/>
      <c r="N12" s="11"/>
      <c r="O12" s="11"/>
      <c r="P12" s="11"/>
      <c r="Q12" s="11"/>
      <c r="R12" s="11"/>
      <c r="S12" s="11"/>
      <c r="T12" s="11"/>
      <c r="U12" s="11"/>
      <c r="V12" s="11"/>
      <c r="W12" s="11"/>
      <c r="X12" s="11"/>
    </row>
    <row r="13" spans="1:24" s="12" customFormat="1" ht="12.5" customHeight="1" x14ac:dyDescent="0.25">
      <c r="A13" s="11"/>
      <c r="B13" s="11">
        <v>2.5</v>
      </c>
      <c r="C13" s="11">
        <v>28</v>
      </c>
      <c r="D13" s="11"/>
      <c r="E13" s="58" t="s">
        <v>78</v>
      </c>
      <c r="F13" s="59"/>
      <c r="G13" s="59"/>
      <c r="H13" s="59"/>
      <c r="I13" s="59"/>
      <c r="J13" s="59"/>
      <c r="K13" s="59"/>
      <c r="L13" s="11"/>
      <c r="M13" s="11"/>
      <c r="N13" s="11"/>
      <c r="O13" s="11"/>
      <c r="P13" s="11"/>
      <c r="Q13" s="11"/>
      <c r="R13" s="11"/>
      <c r="S13" s="11"/>
      <c r="T13" s="11"/>
      <c r="U13" s="11"/>
      <c r="V13" s="11"/>
      <c r="W13" s="11"/>
      <c r="X13" s="11"/>
    </row>
    <row r="14" spans="1:24" s="12" customFormat="1" x14ac:dyDescent="0.25">
      <c r="A14" s="11"/>
      <c r="B14" s="11">
        <v>3.2</v>
      </c>
      <c r="C14" s="11">
        <v>21</v>
      </c>
      <c r="D14" s="11"/>
      <c r="E14" s="59"/>
      <c r="F14" s="59"/>
      <c r="G14" s="59"/>
      <c r="H14" s="59"/>
      <c r="I14" s="59"/>
      <c r="J14" s="59"/>
      <c r="K14" s="59"/>
      <c r="L14" s="11"/>
      <c r="M14" s="11"/>
      <c r="N14" s="11"/>
      <c r="O14" s="11"/>
      <c r="P14" s="11"/>
      <c r="Q14" s="11"/>
      <c r="R14" s="11"/>
      <c r="S14" s="11"/>
      <c r="T14" s="11"/>
      <c r="U14" s="11"/>
      <c r="V14" s="11"/>
      <c r="W14" s="11"/>
      <c r="X14" s="11"/>
    </row>
    <row r="15" spans="1:24" s="12" customFormat="1" x14ac:dyDescent="0.25">
      <c r="A15" s="11"/>
      <c r="B15" s="11">
        <v>6.8</v>
      </c>
      <c r="C15" s="11">
        <v>4</v>
      </c>
      <c r="D15" s="11"/>
      <c r="E15" s="59"/>
      <c r="F15" s="59"/>
      <c r="G15" s="59"/>
      <c r="H15" s="59"/>
      <c r="I15" s="59"/>
      <c r="J15" s="59"/>
      <c r="K15" s="59"/>
      <c r="L15" s="11"/>
      <c r="M15" s="11"/>
      <c r="N15" s="11"/>
      <c r="O15" s="11"/>
      <c r="P15" s="11"/>
      <c r="Q15" s="11"/>
      <c r="R15" s="11"/>
      <c r="S15" s="11"/>
      <c r="T15" s="11"/>
      <c r="U15" s="11"/>
      <c r="V15" s="11"/>
      <c r="W15" s="11"/>
      <c r="X15" s="11"/>
    </row>
    <row r="16" spans="1:24" s="12" customFormat="1" x14ac:dyDescent="0.25">
      <c r="A16" s="11"/>
      <c r="B16" s="11">
        <v>8.1</v>
      </c>
      <c r="C16" s="11">
        <v>5</v>
      </c>
      <c r="D16" s="11"/>
      <c r="E16" s="30"/>
      <c r="L16" s="11"/>
      <c r="M16" s="11"/>
      <c r="N16" s="11"/>
      <c r="O16" s="11"/>
      <c r="P16" s="11"/>
      <c r="Q16" s="11"/>
      <c r="R16" s="11"/>
      <c r="S16" s="11"/>
      <c r="T16" s="11"/>
      <c r="U16" s="11"/>
      <c r="V16" s="11"/>
      <c r="W16" s="11"/>
      <c r="X16" s="11"/>
    </row>
    <row r="17" spans="1:24" s="12" customFormat="1" x14ac:dyDescent="0.25">
      <c r="A17" s="11"/>
      <c r="B17" s="11">
        <v>2.8</v>
      </c>
      <c r="C17" s="11">
        <v>17</v>
      </c>
      <c r="D17" s="11"/>
      <c r="L17" s="11"/>
      <c r="M17" s="11"/>
      <c r="N17" s="11"/>
      <c r="O17" s="11"/>
      <c r="P17" s="11"/>
      <c r="Q17" s="11"/>
      <c r="R17" s="11"/>
      <c r="S17" s="11"/>
      <c r="T17" s="11"/>
      <c r="U17" s="11"/>
      <c r="V17" s="11"/>
      <c r="W17" s="11"/>
      <c r="X17" s="11"/>
    </row>
    <row r="18" spans="1:24" s="12" customFormat="1" x14ac:dyDescent="0.25">
      <c r="A18" s="11"/>
      <c r="B18" s="11">
        <v>3.4</v>
      </c>
      <c r="C18" s="11">
        <v>19</v>
      </c>
      <c r="D18" s="11"/>
      <c r="G18" s="11"/>
      <c r="H18" s="11"/>
      <c r="I18" s="11"/>
      <c r="J18" s="11"/>
      <c r="K18" s="11"/>
      <c r="L18" s="11"/>
      <c r="M18" s="11"/>
      <c r="N18" s="11"/>
      <c r="O18" s="11"/>
      <c r="P18" s="11"/>
      <c r="Q18" s="11"/>
      <c r="R18" s="11"/>
      <c r="S18" s="11"/>
      <c r="T18" s="11"/>
      <c r="U18" s="11"/>
      <c r="V18" s="11"/>
      <c r="W18" s="11"/>
      <c r="X18" s="11"/>
    </row>
    <row r="19" spans="1:24" s="12" customFormat="1" ht="13" x14ac:dyDescent="0.3">
      <c r="A19" s="11"/>
      <c r="B19" s="11">
        <v>6.3</v>
      </c>
      <c r="C19" s="11">
        <v>10</v>
      </c>
      <c r="D19" s="11"/>
      <c r="E19" s="31" t="s">
        <v>59</v>
      </c>
      <c r="F19" s="29">
        <f>ABS(F9)*SQRT(COUNT(C8:C23)-2)/SQRT(1-F9^2)</f>
        <v>5.067506908267033</v>
      </c>
      <c r="G19" s="11"/>
      <c r="H19" s="11"/>
      <c r="I19" s="11"/>
      <c r="J19" s="11"/>
      <c r="K19" s="11"/>
      <c r="L19" s="11"/>
      <c r="M19" s="11"/>
      <c r="N19" s="11"/>
      <c r="O19" s="11"/>
      <c r="P19" s="11"/>
      <c r="Q19" s="11"/>
      <c r="R19" s="11"/>
      <c r="S19" s="11"/>
      <c r="T19" s="11"/>
      <c r="U19" s="11"/>
      <c r="V19" s="11"/>
      <c r="W19" s="11"/>
      <c r="X19" s="11"/>
    </row>
    <row r="20" spans="1:24" s="12" customFormat="1" ht="13" x14ac:dyDescent="0.3">
      <c r="A20" s="11"/>
      <c r="B20" s="11">
        <v>4.0999999999999996</v>
      </c>
      <c r="C20" s="11">
        <v>16</v>
      </c>
      <c r="D20" s="11"/>
      <c r="E20" s="31" t="s">
        <v>77</v>
      </c>
      <c r="F20" s="29">
        <f>TDIST(F19,SUM(C8:C23-2),2)</f>
        <v>1.7167695173326769E-4</v>
      </c>
      <c r="G20" s="11"/>
      <c r="H20" s="11"/>
      <c r="I20" s="11"/>
      <c r="J20" s="11"/>
      <c r="K20" s="11"/>
      <c r="L20" s="11"/>
      <c r="M20" s="11"/>
      <c r="N20" s="11"/>
      <c r="O20" s="11"/>
      <c r="P20" s="11"/>
      <c r="Q20" s="11"/>
      <c r="R20" s="11"/>
      <c r="S20" s="11"/>
      <c r="T20" s="11"/>
      <c r="U20" s="11"/>
      <c r="V20" s="11"/>
      <c r="W20" s="11"/>
      <c r="X20" s="11"/>
    </row>
    <row r="21" spans="1:24" s="12" customFormat="1" x14ac:dyDescent="0.25">
      <c r="A21" s="11"/>
      <c r="B21" s="11">
        <v>3.1</v>
      </c>
      <c r="C21" s="11">
        <v>17</v>
      </c>
      <c r="D21" s="11"/>
      <c r="E21" s="11"/>
      <c r="F21" s="11"/>
      <c r="G21" s="11"/>
      <c r="H21" s="11"/>
      <c r="I21" s="11"/>
      <c r="J21" s="11"/>
      <c r="K21" s="11"/>
      <c r="L21" s="11"/>
      <c r="M21" s="11"/>
      <c r="N21" s="11"/>
      <c r="O21" s="11"/>
      <c r="P21" s="11"/>
      <c r="Q21" s="11"/>
      <c r="R21" s="11"/>
      <c r="S21" s="11"/>
      <c r="T21" s="11"/>
      <c r="U21" s="11"/>
      <c r="V21" s="11"/>
      <c r="W21" s="11"/>
      <c r="X21" s="11"/>
    </row>
    <row r="22" spans="1:24" s="12" customFormat="1" x14ac:dyDescent="0.25">
      <c r="A22" s="11"/>
      <c r="B22" s="11">
        <v>4.9000000000000004</v>
      </c>
      <c r="C22" s="11">
        <v>13</v>
      </c>
      <c r="D22" s="11"/>
      <c r="E22" s="11"/>
      <c r="F22" s="11"/>
      <c r="G22" s="11"/>
      <c r="H22" s="11"/>
      <c r="I22" s="11"/>
      <c r="J22" s="11"/>
      <c r="K22" s="11"/>
      <c r="L22" s="11"/>
      <c r="M22" s="11"/>
      <c r="N22" s="11"/>
      <c r="O22" s="11"/>
      <c r="P22" s="11"/>
      <c r="Q22" s="11"/>
      <c r="R22" s="11"/>
      <c r="S22" s="11"/>
      <c r="T22" s="11"/>
      <c r="U22" s="11"/>
      <c r="V22" s="11"/>
      <c r="W22" s="11"/>
      <c r="X22" s="11"/>
    </row>
    <row r="23" spans="1:24" s="12" customFormat="1" x14ac:dyDescent="0.25">
      <c r="A23" s="11"/>
      <c r="B23" s="11">
        <v>7.2</v>
      </c>
      <c r="C23" s="11">
        <v>3</v>
      </c>
      <c r="D23" s="11"/>
      <c r="E23" s="11"/>
      <c r="F23" s="11"/>
      <c r="G23" s="11"/>
      <c r="H23" s="11"/>
      <c r="I23" s="11"/>
      <c r="J23" s="11"/>
      <c r="K23" s="11"/>
      <c r="L23" s="11"/>
      <c r="M23" s="11"/>
      <c r="N23" s="11"/>
      <c r="O23" s="11"/>
      <c r="P23" s="11"/>
      <c r="Q23" s="11"/>
      <c r="R23" s="11"/>
      <c r="S23" s="11"/>
      <c r="T23" s="11"/>
      <c r="U23" s="11"/>
      <c r="V23" s="11"/>
      <c r="W23" s="11"/>
      <c r="X23" s="11"/>
    </row>
    <row r="24" spans="1:24" s="12" customFormat="1"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row>
    <row r="25" spans="1:24" s="12" customFormat="1"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row>
    <row r="26" spans="1:24" s="12" customFormat="1"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row>
    <row r="27" spans="1:24" ht="12.5" customHeight="1" x14ac:dyDescent="0.45">
      <c r="A27" s="1"/>
      <c r="B27" s="1"/>
      <c r="C27" s="1"/>
      <c r="D27" s="1"/>
      <c r="E27" s="1"/>
      <c r="F27" s="1"/>
      <c r="G27" s="1"/>
      <c r="H27" s="1"/>
      <c r="I27" s="1"/>
      <c r="J27" s="1"/>
      <c r="K27" s="1"/>
      <c r="L27" s="1"/>
      <c r="M27" s="1"/>
      <c r="N27" s="1"/>
      <c r="O27" s="1"/>
      <c r="P27" s="1"/>
      <c r="Q27" s="1"/>
      <c r="R27" s="1"/>
      <c r="S27" s="1"/>
      <c r="T27" s="1"/>
      <c r="U27" s="1"/>
      <c r="V27" s="1"/>
      <c r="W27" s="1"/>
      <c r="X27" s="1"/>
    </row>
    <row r="28" spans="1:24" ht="12.5" customHeight="1" x14ac:dyDescent="0.45">
      <c r="A28" s="1"/>
      <c r="B28" s="1"/>
      <c r="C28" s="1"/>
      <c r="D28" s="1"/>
      <c r="E28" s="1"/>
      <c r="F28" s="1"/>
      <c r="G28" s="1"/>
      <c r="H28" s="1"/>
      <c r="I28" s="1"/>
      <c r="J28" s="1"/>
      <c r="K28" s="1"/>
      <c r="L28" s="1"/>
      <c r="M28" s="1"/>
      <c r="N28" s="1"/>
      <c r="O28" s="1"/>
      <c r="P28" s="1"/>
      <c r="Q28" s="1"/>
      <c r="R28" s="1"/>
      <c r="S28" s="1"/>
      <c r="T28" s="1"/>
      <c r="U28" s="1"/>
      <c r="V28" s="1"/>
      <c r="W28" s="1"/>
      <c r="X28" s="1"/>
    </row>
    <row r="29" spans="1:24" ht="12.5" customHeight="1" x14ac:dyDescent="0.45">
      <c r="A29" s="1"/>
      <c r="B29" s="1"/>
      <c r="C29" s="1"/>
      <c r="D29" s="1"/>
      <c r="E29" s="1"/>
      <c r="F29" s="1"/>
      <c r="G29" s="1"/>
      <c r="H29" s="1"/>
      <c r="I29" s="1"/>
      <c r="J29" s="1"/>
      <c r="K29" s="1"/>
      <c r="L29" s="1"/>
      <c r="M29" s="1"/>
      <c r="N29" s="1"/>
      <c r="O29" s="1"/>
      <c r="P29" s="1"/>
      <c r="Q29" s="1"/>
      <c r="R29" s="1"/>
      <c r="S29" s="1"/>
      <c r="T29" s="1"/>
      <c r="U29" s="1"/>
      <c r="V29" s="1"/>
      <c r="W29" s="1"/>
      <c r="X29" s="1"/>
    </row>
    <row r="30" spans="1:24" ht="12.5" customHeight="1" x14ac:dyDescent="0.45">
      <c r="A30" s="1"/>
      <c r="B30" s="1"/>
      <c r="C30" s="1"/>
      <c r="D30" s="1"/>
      <c r="E30" s="1"/>
      <c r="F30" s="1"/>
      <c r="G30" s="1"/>
      <c r="H30" s="1"/>
      <c r="I30" s="1"/>
      <c r="J30" s="1"/>
      <c r="K30" s="1"/>
      <c r="L30" s="1"/>
      <c r="M30" s="1"/>
      <c r="N30" s="1"/>
      <c r="O30" s="1"/>
      <c r="P30" s="1"/>
      <c r="Q30" s="1"/>
      <c r="R30" s="1"/>
      <c r="S30" s="1"/>
      <c r="T30" s="1"/>
      <c r="U30" s="1"/>
      <c r="V30" s="1"/>
      <c r="W30" s="1"/>
      <c r="X30" s="1"/>
    </row>
    <row r="31" spans="1:24" ht="12.5" customHeight="1" x14ac:dyDescent="0.45">
      <c r="A31" s="1"/>
      <c r="B31" s="1"/>
      <c r="C31" s="1"/>
      <c r="D31" s="1"/>
      <c r="E31" s="1"/>
      <c r="F31" s="1"/>
      <c r="G31" s="1"/>
      <c r="H31" s="1"/>
      <c r="I31" s="1"/>
      <c r="J31" s="1"/>
      <c r="K31" s="1"/>
      <c r="L31" s="1"/>
      <c r="M31" s="1"/>
      <c r="N31" s="1"/>
      <c r="O31" s="1"/>
      <c r="P31" s="1"/>
      <c r="Q31" s="1"/>
      <c r="R31" s="1"/>
      <c r="S31" s="1"/>
      <c r="T31" s="1"/>
      <c r="U31" s="1"/>
      <c r="V31" s="1"/>
      <c r="W31" s="1"/>
      <c r="X31" s="1"/>
    </row>
  </sheetData>
  <mergeCells count="1">
    <mergeCell ref="E13:K15"/>
  </mergeCells>
  <pageMargins left="0" right="0" top="0" bottom="0" header="0" footer="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31"/>
  <sheetViews>
    <sheetView zoomScale="90" zoomScaleNormal="90" workbookViewId="0">
      <selection activeCell="A3" sqref="A3"/>
    </sheetView>
  </sheetViews>
  <sheetFormatPr defaultColWidth="14.453125" defaultRowHeight="12.5" x14ac:dyDescent="0.25"/>
  <cols>
    <col min="1" max="1" width="14.453125" style="12"/>
    <col min="2" max="2" width="16.54296875" style="12" customWidth="1"/>
    <col min="3" max="3" width="18.453125" style="12" bestFit="1" customWidth="1"/>
    <col min="4" max="4" width="8.1796875" style="12" customWidth="1"/>
    <col min="5" max="5" width="16.08984375" style="12" bestFit="1" customWidth="1"/>
    <col min="6" max="6" width="14.7265625" style="12" bestFit="1" customWidth="1"/>
    <col min="7" max="7" width="6.81640625" style="12" customWidth="1"/>
    <col min="8" max="10" width="14.453125" style="12"/>
    <col min="11" max="11" width="23.7265625" style="12" customWidth="1"/>
    <col min="12" max="14" width="14.453125" style="12" hidden="1" customWidth="1"/>
    <col min="15" max="16384" width="14.453125" style="12"/>
  </cols>
  <sheetData>
    <row r="1" spans="1:14" ht="15.5" x14ac:dyDescent="0.35">
      <c r="A1" s="7" t="s">
        <v>89</v>
      </c>
    </row>
    <row r="2" spans="1:14" x14ac:dyDescent="0.25">
      <c r="A2" s="34" t="s">
        <v>115</v>
      </c>
    </row>
    <row r="4" spans="1:14" ht="13" x14ac:dyDescent="0.3">
      <c r="A4" s="10" t="s">
        <v>0</v>
      </c>
      <c r="B4" s="9" t="s">
        <v>122</v>
      </c>
    </row>
    <row r="5" spans="1:14" ht="13" x14ac:dyDescent="0.3">
      <c r="B5" s="19" t="s">
        <v>103</v>
      </c>
    </row>
    <row r="6" spans="1:14" ht="13" x14ac:dyDescent="0.3">
      <c r="B6" s="55" t="s">
        <v>116</v>
      </c>
    </row>
    <row r="8" spans="1:14" ht="39" x14ac:dyDescent="0.3">
      <c r="B8" s="35" t="s">
        <v>17</v>
      </c>
      <c r="C8" s="35" t="s">
        <v>79</v>
      </c>
      <c r="D8" s="35"/>
      <c r="E8" s="35" t="s">
        <v>19</v>
      </c>
      <c r="F8" s="35" t="s">
        <v>20</v>
      </c>
      <c r="G8" s="11"/>
      <c r="H8" s="11"/>
      <c r="I8" s="11"/>
      <c r="J8" s="11"/>
      <c r="K8" s="11"/>
      <c r="L8" s="11"/>
    </row>
    <row r="9" spans="1:14" x14ac:dyDescent="0.25">
      <c r="B9" s="11">
        <v>5.2</v>
      </c>
      <c r="C9" s="11">
        <v>4</v>
      </c>
      <c r="D9" s="11"/>
      <c r="E9" s="11">
        <f t="shared" ref="E9:F9" si="0">_xlfn.RANK.AVG(B9,B$9:B$24,1)</f>
        <v>11</v>
      </c>
      <c r="F9" s="11">
        <f t="shared" si="0"/>
        <v>14</v>
      </c>
      <c r="G9" s="11"/>
      <c r="H9" s="11"/>
      <c r="I9" s="11"/>
      <c r="J9" s="11"/>
      <c r="K9" s="11"/>
      <c r="L9" s="11"/>
    </row>
    <row r="10" spans="1:14" ht="13" x14ac:dyDescent="0.3">
      <c r="B10" s="11">
        <v>3.4</v>
      </c>
      <c r="C10" s="11">
        <v>3</v>
      </c>
      <c r="D10" s="11"/>
      <c r="E10" s="11">
        <f t="shared" ref="E10:F10" si="1">_xlfn.RANK.AVG(B10,B$9:B$24,1)</f>
        <v>5.5</v>
      </c>
      <c r="F10" s="11">
        <f t="shared" si="1"/>
        <v>9</v>
      </c>
      <c r="G10" s="11"/>
      <c r="H10" s="21" t="s">
        <v>88</v>
      </c>
      <c r="I10" s="29">
        <f>CORREL(E9:E24,F9:F24)</f>
        <v>-0.74588967113847993</v>
      </c>
      <c r="J10" s="11"/>
      <c r="K10" s="11"/>
      <c r="L10" s="11"/>
      <c r="M10" s="11"/>
      <c r="N10" s="11"/>
    </row>
    <row r="11" spans="1:14" x14ac:dyDescent="0.25">
      <c r="B11" s="11">
        <v>6.1</v>
      </c>
      <c r="C11" s="11">
        <v>3</v>
      </c>
      <c r="D11" s="11"/>
      <c r="E11" s="11">
        <f t="shared" ref="E11:F11" si="2">_xlfn.RANK.AVG(B11,B$9:B$24,1)</f>
        <v>12</v>
      </c>
      <c r="F11" s="11">
        <f t="shared" si="2"/>
        <v>9</v>
      </c>
      <c r="G11" s="11"/>
      <c r="H11" s="11"/>
      <c r="I11" s="11"/>
      <c r="J11" s="11"/>
      <c r="L11" s="11"/>
      <c r="M11" s="11"/>
      <c r="N11" s="11"/>
    </row>
    <row r="12" spans="1:14" x14ac:dyDescent="0.25">
      <c r="B12" s="11">
        <v>5</v>
      </c>
      <c r="C12" s="11">
        <v>2</v>
      </c>
      <c r="D12" s="11"/>
      <c r="E12" s="11">
        <f t="shared" ref="E12:F12" si="3">_xlfn.RANK.AVG(B12,B$9:B$24,1)</f>
        <v>10</v>
      </c>
      <c r="F12" s="11">
        <f t="shared" si="3"/>
        <v>4.5</v>
      </c>
      <c r="G12" s="11"/>
      <c r="J12" s="11"/>
      <c r="K12" s="11"/>
      <c r="L12" s="11"/>
      <c r="M12" s="11"/>
      <c r="N12" s="11"/>
    </row>
    <row r="13" spans="1:14" x14ac:dyDescent="0.25">
      <c r="B13" s="11">
        <v>4.2</v>
      </c>
      <c r="C13" s="11">
        <v>3</v>
      </c>
      <c r="D13" s="11"/>
      <c r="E13" s="11">
        <f t="shared" ref="E13:F13" si="4">_xlfn.RANK.AVG(B13,B$9:B$24,1)</f>
        <v>8</v>
      </c>
      <c r="F13" s="11">
        <f t="shared" si="4"/>
        <v>9</v>
      </c>
      <c r="G13" s="11"/>
      <c r="H13" s="11"/>
      <c r="I13" s="11"/>
      <c r="J13" s="11"/>
      <c r="K13" s="11"/>
      <c r="L13" s="11"/>
      <c r="M13" s="11"/>
      <c r="N13" s="11"/>
    </row>
    <row r="14" spans="1:14" ht="12.5" customHeight="1" x14ac:dyDescent="0.25">
      <c r="B14" s="11">
        <v>2.5</v>
      </c>
      <c r="C14" s="11">
        <v>5</v>
      </c>
      <c r="D14" s="11"/>
      <c r="E14" s="11">
        <f t="shared" ref="E14:F14" si="5">_xlfn.RANK.AVG(B14,B$9:B$24,1)</f>
        <v>1</v>
      </c>
      <c r="F14" s="11">
        <f t="shared" si="5"/>
        <v>16</v>
      </c>
      <c r="G14" s="11"/>
      <c r="H14" s="58" t="s">
        <v>78</v>
      </c>
      <c r="I14" s="58"/>
      <c r="J14" s="58"/>
      <c r="K14" s="58"/>
      <c r="L14" s="58"/>
      <c r="M14" s="58"/>
      <c r="N14" s="58"/>
    </row>
    <row r="15" spans="1:14" x14ac:dyDescent="0.25">
      <c r="B15" s="11">
        <v>3.2</v>
      </c>
      <c r="C15" s="11">
        <v>4</v>
      </c>
      <c r="D15" s="11"/>
      <c r="E15" s="11">
        <f t="shared" ref="E15:F15" si="6">_xlfn.RANK.AVG(B15,B$9:B$24,1)</f>
        <v>4</v>
      </c>
      <c r="F15" s="11">
        <f t="shared" si="6"/>
        <v>14</v>
      </c>
      <c r="G15" s="11"/>
      <c r="H15" s="58"/>
      <c r="I15" s="58"/>
      <c r="J15" s="58"/>
      <c r="K15" s="58"/>
      <c r="L15" s="58"/>
      <c r="M15" s="58"/>
      <c r="N15" s="58"/>
    </row>
    <row r="16" spans="1:14" x14ac:dyDescent="0.25">
      <c r="B16" s="11">
        <v>6.8</v>
      </c>
      <c r="C16" s="11">
        <v>1</v>
      </c>
      <c r="D16" s="11"/>
      <c r="E16" s="11">
        <f t="shared" ref="E16:F16" si="7">_xlfn.RANK.AVG(B16,B$9:B$24,1)</f>
        <v>14</v>
      </c>
      <c r="F16" s="11">
        <f t="shared" si="7"/>
        <v>2</v>
      </c>
      <c r="G16" s="11"/>
      <c r="H16" s="58"/>
      <c r="I16" s="58"/>
      <c r="J16" s="58"/>
      <c r="K16" s="58"/>
      <c r="L16" s="58"/>
      <c r="M16" s="58"/>
      <c r="N16" s="58"/>
    </row>
    <row r="17" spans="2:14" x14ac:dyDescent="0.25">
      <c r="B17" s="11">
        <v>8.1</v>
      </c>
      <c r="C17" s="11">
        <v>1</v>
      </c>
      <c r="D17" s="11"/>
      <c r="E17" s="11">
        <f t="shared" ref="E17:F17" si="8">_xlfn.RANK.AVG(B17,B$9:B$24,1)</f>
        <v>16</v>
      </c>
      <c r="F17" s="11">
        <f t="shared" si="8"/>
        <v>2</v>
      </c>
      <c r="G17" s="11"/>
      <c r="H17" s="30"/>
    </row>
    <row r="18" spans="2:14" x14ac:dyDescent="0.25">
      <c r="B18" s="11">
        <v>2.8</v>
      </c>
      <c r="C18" s="11">
        <v>3</v>
      </c>
      <c r="D18" s="11"/>
      <c r="E18" s="11">
        <f t="shared" ref="E18:F18" si="9">_xlfn.RANK.AVG(B18,B$9:B$24,1)</f>
        <v>2</v>
      </c>
      <c r="F18" s="11">
        <f t="shared" si="9"/>
        <v>9</v>
      </c>
      <c r="G18" s="11"/>
    </row>
    <row r="19" spans="2:14" x14ac:dyDescent="0.25">
      <c r="B19" s="11">
        <v>3.4</v>
      </c>
      <c r="C19" s="11">
        <v>4</v>
      </c>
      <c r="D19" s="11"/>
      <c r="E19" s="11">
        <f t="shared" ref="E19:F19" si="10">_xlfn.RANK.AVG(B19,B$9:B$24,1)</f>
        <v>5.5</v>
      </c>
      <c r="F19" s="11">
        <f t="shared" si="10"/>
        <v>14</v>
      </c>
      <c r="G19" s="11"/>
      <c r="J19" s="11"/>
      <c r="K19" s="11"/>
      <c r="L19" s="11"/>
      <c r="M19" s="11"/>
      <c r="N19" s="11"/>
    </row>
    <row r="20" spans="2:14" ht="13" x14ac:dyDescent="0.3">
      <c r="B20" s="11">
        <v>6.3</v>
      </c>
      <c r="C20" s="11">
        <v>2</v>
      </c>
      <c r="D20" s="11"/>
      <c r="E20" s="11">
        <f t="shared" ref="E20:F20" si="11">_xlfn.RANK.AVG(B20,B$9:B$24,1)</f>
        <v>13</v>
      </c>
      <c r="F20" s="11">
        <f t="shared" si="11"/>
        <v>4.5</v>
      </c>
      <c r="G20" s="11"/>
      <c r="H20" s="31" t="s">
        <v>59</v>
      </c>
      <c r="I20" s="29">
        <f>ABS(I10)*SQRT(COUNT(C9:C24)-2)/SQRT(1-I10^2)</f>
        <v>4.1900485398298146</v>
      </c>
      <c r="J20" s="11"/>
      <c r="K20" s="11"/>
      <c r="L20" s="11"/>
      <c r="M20" s="11"/>
      <c r="N20" s="11"/>
    </row>
    <row r="21" spans="2:14" ht="13" x14ac:dyDescent="0.3">
      <c r="B21" s="11">
        <v>4.0999999999999996</v>
      </c>
      <c r="C21" s="11">
        <v>3</v>
      </c>
      <c r="D21" s="11"/>
      <c r="E21" s="11">
        <f t="shared" ref="E21:F21" si="12">_xlfn.RANK.AVG(B21,B$9:B$24,1)</f>
        <v>7</v>
      </c>
      <c r="F21" s="11">
        <f t="shared" si="12"/>
        <v>9</v>
      </c>
      <c r="G21" s="11"/>
      <c r="H21" s="31" t="s">
        <v>77</v>
      </c>
      <c r="I21" s="29">
        <f>TDIST(I20,SUM(C9:C24-2),2)</f>
        <v>0.14914617078748418</v>
      </c>
      <c r="J21" s="11"/>
      <c r="K21" s="11"/>
      <c r="L21" s="11"/>
      <c r="M21" s="11"/>
      <c r="N21" s="11"/>
    </row>
    <row r="22" spans="2:14" x14ac:dyDescent="0.25">
      <c r="B22" s="11">
        <v>3.1</v>
      </c>
      <c r="C22" s="11">
        <v>3</v>
      </c>
      <c r="D22" s="11"/>
      <c r="E22" s="11">
        <f t="shared" ref="E22:F22" si="13">_xlfn.RANK.AVG(B22,B$9:B$24,1)</f>
        <v>3</v>
      </c>
      <c r="F22" s="11">
        <f t="shared" si="13"/>
        <v>9</v>
      </c>
      <c r="G22" s="11"/>
      <c r="H22" s="11"/>
      <c r="I22" s="11"/>
      <c r="J22" s="11"/>
      <c r="K22" s="11"/>
      <c r="L22" s="11"/>
    </row>
    <row r="23" spans="2:14" x14ac:dyDescent="0.25">
      <c r="B23" s="11">
        <v>4.9000000000000004</v>
      </c>
      <c r="C23" s="11">
        <v>3</v>
      </c>
      <c r="D23" s="11"/>
      <c r="E23" s="11">
        <f t="shared" ref="E23:F23" si="14">_xlfn.RANK.AVG(B23,B$9:B$24,1)</f>
        <v>9</v>
      </c>
      <c r="F23" s="11">
        <f t="shared" si="14"/>
        <v>9</v>
      </c>
      <c r="G23" s="11"/>
      <c r="H23" s="11"/>
      <c r="I23" s="11"/>
      <c r="J23" s="11"/>
      <c r="K23" s="11"/>
      <c r="L23" s="11"/>
    </row>
    <row r="24" spans="2:14" x14ac:dyDescent="0.25">
      <c r="B24" s="11">
        <v>7.2</v>
      </c>
      <c r="C24" s="11">
        <v>1</v>
      </c>
      <c r="D24" s="11"/>
      <c r="E24" s="11">
        <f t="shared" ref="E24:F24" si="15">_xlfn.RANK.AVG(B24,B$9:B$24,1)</f>
        <v>15</v>
      </c>
      <c r="F24" s="11">
        <f t="shared" si="15"/>
        <v>2</v>
      </c>
      <c r="G24" s="11"/>
      <c r="H24" s="11"/>
      <c r="I24" s="11"/>
      <c r="J24" s="11"/>
      <c r="K24" s="11"/>
      <c r="L24" s="11"/>
    </row>
    <row r="26" spans="2:14" x14ac:dyDescent="0.25">
      <c r="C26" s="11" t="s">
        <v>21</v>
      </c>
      <c r="G26" s="33"/>
      <c r="H26" s="50"/>
    </row>
    <row r="27" spans="2:14" x14ac:dyDescent="0.25">
      <c r="C27" s="28" t="s">
        <v>22</v>
      </c>
      <c r="G27" s="33"/>
      <c r="H27" s="50"/>
    </row>
    <row r="28" spans="2:14" x14ac:dyDescent="0.25">
      <c r="C28" s="28" t="s">
        <v>23</v>
      </c>
      <c r="G28" s="20"/>
      <c r="H28" s="50"/>
    </row>
    <row r="29" spans="2:14" x14ac:dyDescent="0.25">
      <c r="C29" s="28" t="s">
        <v>24</v>
      </c>
      <c r="G29" s="20"/>
      <c r="H29" s="50"/>
    </row>
    <row r="30" spans="2:14" x14ac:dyDescent="0.25">
      <c r="C30" s="28" t="s">
        <v>25</v>
      </c>
    </row>
    <row r="31" spans="2:14" x14ac:dyDescent="0.25">
      <c r="C31" s="28" t="s">
        <v>26</v>
      </c>
    </row>
  </sheetData>
  <mergeCells count="1">
    <mergeCell ref="H14:N16"/>
  </mergeCells>
  <pageMargins left="0" right="0" top="0" bottom="0"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Y25"/>
  <sheetViews>
    <sheetView workbookViewId="0">
      <selection activeCell="A3" sqref="A3"/>
    </sheetView>
  </sheetViews>
  <sheetFormatPr defaultColWidth="14.453125" defaultRowHeight="12.5" x14ac:dyDescent="0.25"/>
  <cols>
    <col min="1" max="1" width="17.08984375" style="12" customWidth="1"/>
    <col min="2" max="2" width="16.7265625" style="12" customWidth="1"/>
    <col min="3" max="3" width="19.36328125" style="12" bestFit="1" customWidth="1"/>
    <col min="4" max="4" width="6.08984375" style="12" customWidth="1"/>
    <col min="5" max="5" width="58.26953125" style="12" customWidth="1"/>
    <col min="6" max="16384" width="14.453125" style="12"/>
  </cols>
  <sheetData>
    <row r="1" spans="1:25" ht="15.5" x14ac:dyDescent="0.35">
      <c r="A1" s="7" t="s">
        <v>27</v>
      </c>
    </row>
    <row r="2" spans="1:25" x14ac:dyDescent="0.25">
      <c r="A2" s="11" t="s">
        <v>73</v>
      </c>
    </row>
    <row r="4" spans="1:25" ht="13" x14ac:dyDescent="0.3">
      <c r="A4" s="10" t="s">
        <v>0</v>
      </c>
      <c r="B4" s="19" t="s">
        <v>102</v>
      </c>
    </row>
    <row r="6" spans="1:25" ht="13" x14ac:dyDescent="0.3">
      <c r="A6" s="11"/>
      <c r="B6" s="26" t="s">
        <v>28</v>
      </c>
      <c r="C6" s="26" t="s">
        <v>29</v>
      </c>
      <c r="D6" s="11"/>
      <c r="E6" s="11"/>
      <c r="F6" s="11"/>
      <c r="G6" s="11"/>
      <c r="H6" s="11"/>
      <c r="I6" s="11"/>
      <c r="J6" s="11"/>
      <c r="K6" s="11"/>
      <c r="L6" s="11"/>
      <c r="M6" s="11"/>
      <c r="N6" s="11"/>
      <c r="O6" s="11"/>
      <c r="P6" s="11"/>
      <c r="Q6" s="11"/>
      <c r="R6" s="11"/>
      <c r="S6" s="11"/>
      <c r="T6" s="11"/>
      <c r="U6" s="11"/>
      <c r="V6" s="11"/>
      <c r="W6" s="11"/>
      <c r="X6" s="11"/>
      <c r="Y6" s="11"/>
    </row>
    <row r="7" spans="1:25" x14ac:dyDescent="0.25">
      <c r="A7" s="11"/>
      <c r="B7" s="21">
        <v>3.5</v>
      </c>
      <c r="C7" s="21">
        <v>5.0999999999999996</v>
      </c>
      <c r="D7" s="11"/>
      <c r="E7" s="11"/>
      <c r="F7" s="11"/>
      <c r="G7" s="11"/>
      <c r="H7" s="11"/>
      <c r="I7" s="11"/>
      <c r="J7" s="11"/>
      <c r="K7" s="11"/>
      <c r="L7" s="11"/>
      <c r="M7" s="11"/>
      <c r="N7" s="11"/>
      <c r="O7" s="11"/>
      <c r="P7" s="11"/>
      <c r="Q7" s="11"/>
      <c r="R7" s="11"/>
      <c r="S7" s="11"/>
      <c r="T7" s="11"/>
      <c r="U7" s="11"/>
      <c r="V7" s="11"/>
      <c r="W7" s="11"/>
      <c r="X7" s="11"/>
      <c r="Y7" s="11"/>
    </row>
    <row r="8" spans="1:25" x14ac:dyDescent="0.25">
      <c r="A8" s="11"/>
      <c r="B8" s="21">
        <v>4</v>
      </c>
      <c r="C8" s="21">
        <v>5.3</v>
      </c>
      <c r="D8" s="11"/>
      <c r="E8" s="11"/>
      <c r="F8" s="11"/>
      <c r="G8" s="11"/>
      <c r="H8" s="11"/>
      <c r="I8" s="11"/>
      <c r="J8" s="11"/>
      <c r="K8" s="11"/>
      <c r="L8" s="11"/>
      <c r="M8" s="11"/>
      <c r="N8" s="11"/>
      <c r="O8" s="11"/>
      <c r="P8" s="11"/>
      <c r="Q8" s="11"/>
      <c r="R8" s="11"/>
      <c r="S8" s="11"/>
      <c r="T8" s="11"/>
      <c r="U8" s="11"/>
      <c r="V8" s="11"/>
      <c r="W8" s="11"/>
      <c r="X8" s="11"/>
      <c r="Y8" s="11"/>
    </row>
    <row r="9" spans="1:25" x14ac:dyDescent="0.25">
      <c r="A9" s="11"/>
      <c r="B9" s="21">
        <v>4.3</v>
      </c>
      <c r="C9" s="21">
        <v>4.8</v>
      </c>
      <c r="D9" s="11"/>
      <c r="E9" s="11"/>
      <c r="F9" s="11"/>
      <c r="G9" s="11"/>
      <c r="H9" s="11"/>
      <c r="I9" s="11"/>
      <c r="J9" s="11"/>
      <c r="K9" s="11"/>
      <c r="L9" s="11"/>
      <c r="M9" s="11"/>
      <c r="N9" s="11"/>
      <c r="O9" s="11"/>
      <c r="P9" s="11"/>
      <c r="Q9" s="11"/>
      <c r="R9" s="11"/>
      <c r="S9" s="11"/>
      <c r="T9" s="11"/>
      <c r="U9" s="11"/>
      <c r="V9" s="11"/>
      <c r="W9" s="11"/>
      <c r="X9" s="11"/>
      <c r="Y9" s="11"/>
    </row>
    <row r="10" spans="1:25" x14ac:dyDescent="0.25">
      <c r="A10" s="11"/>
      <c r="B10" s="21">
        <v>3.7</v>
      </c>
      <c r="C10" s="21">
        <v>4.7</v>
      </c>
      <c r="D10" s="11"/>
      <c r="E10" s="11"/>
      <c r="F10" s="11"/>
      <c r="G10" s="11"/>
      <c r="H10" s="11"/>
      <c r="I10" s="11"/>
      <c r="J10" s="11"/>
      <c r="K10" s="11"/>
      <c r="L10" s="11"/>
      <c r="M10" s="11"/>
      <c r="N10" s="11"/>
      <c r="O10" s="11"/>
      <c r="P10" s="11"/>
      <c r="Q10" s="11"/>
      <c r="R10" s="11"/>
      <c r="S10" s="11"/>
      <c r="T10" s="11"/>
      <c r="U10" s="11"/>
      <c r="V10" s="11"/>
      <c r="W10" s="11"/>
      <c r="X10" s="11"/>
      <c r="Y10" s="11"/>
    </row>
    <row r="11" spans="1:25" x14ac:dyDescent="0.25">
      <c r="A11" s="11"/>
      <c r="B11" s="21">
        <v>4.9000000000000004</v>
      </c>
      <c r="C11" s="21">
        <v>5</v>
      </c>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11"/>
      <c r="B12" s="21">
        <v>5</v>
      </c>
      <c r="C12" s="21">
        <v>5.2</v>
      </c>
      <c r="D12" s="11"/>
      <c r="E12" s="11"/>
      <c r="F12" s="11"/>
      <c r="G12" s="11"/>
      <c r="H12" s="11"/>
      <c r="I12" s="11"/>
      <c r="J12" s="11"/>
      <c r="K12" s="11"/>
      <c r="L12" s="11"/>
      <c r="M12" s="11"/>
      <c r="N12" s="11"/>
      <c r="O12" s="11"/>
      <c r="P12" s="11"/>
      <c r="Q12" s="11"/>
      <c r="R12" s="11"/>
      <c r="S12" s="11"/>
      <c r="T12" s="11"/>
      <c r="U12" s="11"/>
      <c r="V12" s="11"/>
      <c r="W12" s="11"/>
      <c r="X12" s="11"/>
      <c r="Y12" s="11"/>
    </row>
    <row r="13" spans="1:25" x14ac:dyDescent="0.25">
      <c r="A13" s="11"/>
      <c r="B13" s="21">
        <v>3.4</v>
      </c>
      <c r="C13" s="21">
        <v>6.2</v>
      </c>
      <c r="D13" s="11"/>
      <c r="E13" s="11"/>
      <c r="F13" s="11"/>
      <c r="G13" s="11"/>
      <c r="H13" s="11"/>
      <c r="I13" s="11"/>
      <c r="J13" s="11"/>
      <c r="K13" s="11"/>
      <c r="L13" s="11"/>
      <c r="M13" s="11"/>
      <c r="N13" s="11"/>
      <c r="O13" s="11"/>
      <c r="P13" s="11"/>
      <c r="Q13" s="11"/>
      <c r="R13" s="11"/>
      <c r="S13" s="11"/>
      <c r="T13" s="11"/>
      <c r="U13" s="11"/>
      <c r="V13" s="11"/>
      <c r="W13" s="11"/>
      <c r="X13" s="11"/>
      <c r="Y13" s="11"/>
    </row>
    <row r="14" spans="1:25" x14ac:dyDescent="0.25">
      <c r="A14" s="11"/>
      <c r="B14" s="21">
        <v>5.2</v>
      </c>
      <c r="C14" s="21">
        <v>6</v>
      </c>
      <c r="D14" s="11"/>
      <c r="E14" s="11"/>
      <c r="F14" s="11"/>
      <c r="G14" s="11"/>
      <c r="H14" s="11"/>
      <c r="I14" s="11"/>
      <c r="J14" s="11"/>
      <c r="K14" s="11"/>
      <c r="L14" s="11"/>
      <c r="M14" s="11"/>
      <c r="N14" s="11"/>
      <c r="O14" s="11"/>
      <c r="P14" s="11"/>
      <c r="Q14" s="11"/>
      <c r="R14" s="11"/>
      <c r="S14" s="11"/>
      <c r="T14" s="11"/>
      <c r="U14" s="11"/>
      <c r="V14" s="11"/>
      <c r="W14" s="11"/>
      <c r="X14" s="11"/>
      <c r="Y14" s="11"/>
    </row>
    <row r="15" spans="1:25" x14ac:dyDescent="0.25">
      <c r="A15" s="11"/>
      <c r="B15" s="21">
        <v>4.2</v>
      </c>
      <c r="C15" s="21">
        <v>4.0999999999999996</v>
      </c>
      <c r="D15" s="11"/>
      <c r="E15" s="11"/>
      <c r="F15" s="11"/>
      <c r="G15" s="11"/>
      <c r="H15" s="11"/>
      <c r="I15" s="11"/>
      <c r="J15" s="11"/>
      <c r="K15" s="11"/>
      <c r="L15" s="11"/>
      <c r="M15" s="11"/>
      <c r="N15" s="11"/>
      <c r="O15" s="11"/>
      <c r="P15" s="11"/>
      <c r="Q15" s="11"/>
      <c r="R15" s="11"/>
      <c r="S15" s="11"/>
      <c r="T15" s="11"/>
      <c r="U15" s="11"/>
      <c r="V15" s="11"/>
      <c r="W15" s="11"/>
      <c r="X15" s="11"/>
      <c r="Y15" s="11"/>
    </row>
    <row r="16" spans="1:25" x14ac:dyDescent="0.25">
      <c r="A16" s="11"/>
      <c r="B16" s="21">
        <v>4.4000000000000004</v>
      </c>
      <c r="C16" s="21">
        <v>5</v>
      </c>
      <c r="D16" s="11"/>
      <c r="E16" s="11"/>
      <c r="F16" s="11"/>
      <c r="G16" s="11"/>
      <c r="H16" s="11"/>
      <c r="I16" s="11"/>
      <c r="J16" s="11"/>
      <c r="K16" s="11"/>
      <c r="L16" s="11"/>
      <c r="M16" s="11"/>
      <c r="N16" s="11"/>
      <c r="O16" s="11"/>
      <c r="P16" s="11"/>
      <c r="Q16" s="11"/>
      <c r="R16" s="11"/>
      <c r="S16" s="11"/>
      <c r="T16" s="11"/>
      <c r="U16" s="11"/>
      <c r="V16" s="11"/>
      <c r="W16" s="11"/>
      <c r="X16" s="11"/>
      <c r="Y16" s="11"/>
    </row>
    <row r="17" spans="1:25" x14ac:dyDescent="0.25">
      <c r="A17" s="11"/>
      <c r="B17" s="21">
        <v>3.3</v>
      </c>
      <c r="C17" s="21">
        <v>6</v>
      </c>
      <c r="D17" s="11"/>
      <c r="E17" s="11"/>
      <c r="F17" s="11"/>
      <c r="G17" s="11"/>
      <c r="H17" s="11"/>
      <c r="I17" s="11"/>
      <c r="J17" s="11"/>
      <c r="K17" s="11"/>
      <c r="L17" s="11"/>
      <c r="M17" s="11"/>
      <c r="N17" s="11"/>
      <c r="O17" s="11"/>
      <c r="P17" s="11"/>
      <c r="Q17" s="11"/>
      <c r="R17" s="11"/>
      <c r="S17" s="11"/>
      <c r="T17" s="11"/>
      <c r="U17" s="11"/>
      <c r="V17" s="11"/>
      <c r="W17" s="11"/>
      <c r="X17" s="11"/>
      <c r="Y17" s="11"/>
    </row>
    <row r="18" spans="1:25" x14ac:dyDescent="0.25">
      <c r="A18" s="11"/>
      <c r="B18" s="21">
        <v>4.8</v>
      </c>
      <c r="C18" s="21">
        <v>4.3</v>
      </c>
      <c r="D18" s="11"/>
      <c r="E18" s="11"/>
      <c r="F18" s="11"/>
      <c r="G18" s="11"/>
      <c r="H18" s="11"/>
      <c r="I18" s="11"/>
      <c r="J18" s="11"/>
      <c r="K18" s="11"/>
      <c r="L18" s="11"/>
      <c r="M18" s="11"/>
      <c r="N18" s="11"/>
      <c r="O18" s="11"/>
      <c r="P18" s="11"/>
      <c r="Q18" s="11"/>
      <c r="R18" s="11"/>
      <c r="S18" s="11"/>
      <c r="T18" s="11"/>
      <c r="U18" s="11"/>
      <c r="V18" s="11"/>
      <c r="W18" s="11"/>
      <c r="X18" s="11"/>
      <c r="Y18" s="11"/>
    </row>
    <row r="19" spans="1:25" x14ac:dyDescent="0.25">
      <c r="A19" s="11"/>
      <c r="B19" s="21"/>
      <c r="C19" s="21"/>
      <c r="D19" s="11"/>
      <c r="E19" s="11"/>
      <c r="F19" s="11"/>
      <c r="G19" s="11"/>
      <c r="H19" s="11"/>
      <c r="I19" s="11"/>
      <c r="J19" s="11"/>
      <c r="K19" s="11"/>
      <c r="L19" s="11"/>
      <c r="M19" s="11"/>
      <c r="N19" s="11"/>
      <c r="O19" s="11"/>
      <c r="P19" s="11"/>
      <c r="Q19" s="11"/>
      <c r="R19" s="11"/>
      <c r="S19" s="11"/>
      <c r="T19" s="11"/>
      <c r="U19" s="11"/>
      <c r="V19" s="11"/>
      <c r="W19" s="11"/>
      <c r="X19" s="11"/>
      <c r="Y19" s="11"/>
    </row>
    <row r="20" spans="1:25" ht="13" x14ac:dyDescent="0.3">
      <c r="A20" s="10" t="s">
        <v>46</v>
      </c>
      <c r="B20" s="37">
        <f>AVERAGE(B7:B18)</f>
        <v>4.2249999999999996</v>
      </c>
      <c r="C20" s="37">
        <f>AVERAGE(C7:C18)</f>
        <v>5.1416666666666666</v>
      </c>
      <c r="D20" s="11"/>
      <c r="E20" s="11"/>
      <c r="F20" s="11"/>
      <c r="G20" s="11"/>
      <c r="H20" s="11"/>
      <c r="I20" s="11"/>
      <c r="J20" s="11"/>
      <c r="K20" s="11"/>
      <c r="L20" s="11"/>
      <c r="M20" s="11"/>
      <c r="N20" s="11"/>
      <c r="O20" s="11"/>
      <c r="P20" s="11"/>
      <c r="Q20" s="11"/>
      <c r="R20" s="11"/>
      <c r="S20" s="11"/>
      <c r="T20" s="11"/>
      <c r="U20" s="11"/>
      <c r="V20" s="11"/>
      <c r="W20" s="11"/>
      <c r="X20" s="11"/>
      <c r="Y20" s="11"/>
    </row>
    <row r="21" spans="1:25" ht="13" x14ac:dyDescent="0.3">
      <c r="A21" s="10" t="s">
        <v>94</v>
      </c>
      <c r="B21" s="29">
        <f>_xlfn.STDEV.S(B7:B18)</f>
        <v>0.65799281565572354</v>
      </c>
      <c r="C21" s="29">
        <f>_xlfn.STDEV.S(C7:C18)</f>
        <v>0.65845319200426822</v>
      </c>
      <c r="D21" s="11"/>
      <c r="E21" s="11"/>
      <c r="F21" s="11"/>
      <c r="G21" s="11"/>
      <c r="H21" s="11"/>
      <c r="I21" s="11"/>
      <c r="J21" s="11"/>
      <c r="K21" s="11"/>
      <c r="L21" s="11"/>
      <c r="M21" s="11"/>
      <c r="N21" s="11"/>
      <c r="O21" s="11"/>
      <c r="P21" s="11"/>
      <c r="Q21" s="11"/>
      <c r="R21" s="11"/>
      <c r="S21" s="11"/>
      <c r="T21" s="11"/>
      <c r="U21" s="11"/>
      <c r="V21" s="11"/>
      <c r="W21" s="11"/>
      <c r="X21" s="11"/>
      <c r="Y21" s="11"/>
    </row>
    <row r="22" spans="1:25" ht="6.5" customHeight="1" x14ac:dyDescent="0.25">
      <c r="A22" s="11"/>
      <c r="B22" s="11"/>
      <c r="C22" s="11"/>
      <c r="D22" s="11"/>
      <c r="E22" s="11"/>
      <c r="F22" s="11"/>
      <c r="G22" s="11"/>
      <c r="H22" s="11"/>
      <c r="I22" s="11"/>
      <c r="J22" s="11"/>
      <c r="K22" s="11"/>
      <c r="L22" s="11"/>
      <c r="M22" s="11"/>
      <c r="N22" s="11"/>
      <c r="O22" s="11"/>
      <c r="P22" s="11"/>
      <c r="Q22" s="11"/>
      <c r="R22" s="11"/>
      <c r="S22" s="11"/>
      <c r="T22" s="11"/>
      <c r="U22" s="11"/>
      <c r="V22" s="11"/>
      <c r="W22" s="11"/>
      <c r="X22" s="11"/>
      <c r="Y22" s="11"/>
    </row>
    <row r="23" spans="1:25" ht="39" x14ac:dyDescent="0.3">
      <c r="A23" s="11"/>
      <c r="B23" s="25" t="s">
        <v>80</v>
      </c>
      <c r="C23" s="43">
        <f>_xlfn.T.TEST(B7:B18,C7:C18,2,2)</f>
        <v>2.503154885551319E-3</v>
      </c>
      <c r="D23" s="11"/>
      <c r="E23" s="44" t="s">
        <v>81</v>
      </c>
      <c r="F23" s="11"/>
      <c r="G23" s="11"/>
      <c r="H23" s="11"/>
      <c r="I23" s="11"/>
      <c r="J23" s="11"/>
      <c r="K23" s="11"/>
      <c r="L23" s="11"/>
      <c r="M23" s="11"/>
      <c r="N23" s="11"/>
      <c r="O23" s="11"/>
      <c r="P23" s="11"/>
      <c r="Q23" s="11"/>
      <c r="R23" s="11"/>
      <c r="S23" s="11"/>
      <c r="T23" s="11"/>
      <c r="U23" s="11"/>
      <c r="V23" s="11"/>
      <c r="W23" s="11"/>
      <c r="X23" s="11"/>
      <c r="Y23" s="11"/>
    </row>
    <row r="24" spans="1:25" x14ac:dyDescent="0.25">
      <c r="A24" s="11"/>
      <c r="B24" s="11"/>
      <c r="C24" s="11"/>
      <c r="D24" s="11"/>
      <c r="E24" s="11"/>
      <c r="F24" s="11"/>
      <c r="G24" s="11"/>
      <c r="H24" s="11"/>
      <c r="I24" s="11"/>
      <c r="J24" s="11"/>
      <c r="K24" s="11"/>
      <c r="L24" s="11"/>
      <c r="M24" s="11"/>
      <c r="N24" s="11"/>
      <c r="O24" s="11"/>
      <c r="P24" s="11"/>
      <c r="Q24" s="11"/>
      <c r="R24" s="11"/>
      <c r="S24" s="11"/>
      <c r="T24" s="11"/>
      <c r="U24" s="11"/>
      <c r="V24" s="11"/>
      <c r="W24" s="11"/>
      <c r="X24" s="11"/>
      <c r="Y24" s="11"/>
    </row>
    <row r="25" spans="1:25"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Y15"/>
  <sheetViews>
    <sheetView workbookViewId="0">
      <selection activeCell="A3" sqref="A3"/>
    </sheetView>
  </sheetViews>
  <sheetFormatPr defaultColWidth="14.453125" defaultRowHeight="12.5" x14ac:dyDescent="0.25"/>
  <cols>
    <col min="1" max="1" width="15.90625" style="12" customWidth="1"/>
    <col min="2" max="2" width="16.6328125" style="12" customWidth="1"/>
    <col min="3" max="4" width="25.26953125" style="12" customWidth="1"/>
    <col min="5" max="5" width="4.81640625" style="12" customWidth="1"/>
    <col min="6" max="6" width="43.453125" style="12" customWidth="1"/>
    <col min="7" max="16384" width="14.453125" style="12"/>
  </cols>
  <sheetData>
    <row r="1" spans="1:25" ht="13" x14ac:dyDescent="0.3">
      <c r="A1" s="10" t="s">
        <v>66</v>
      </c>
    </row>
    <row r="2" spans="1:25" x14ac:dyDescent="0.25">
      <c r="A2" s="11" t="s">
        <v>72</v>
      </c>
    </row>
    <row r="4" spans="1:25" ht="13" x14ac:dyDescent="0.3">
      <c r="A4" s="10" t="s">
        <v>0</v>
      </c>
      <c r="B4" s="19" t="s">
        <v>101</v>
      </c>
    </row>
    <row r="6" spans="1:25" ht="13" x14ac:dyDescent="0.3">
      <c r="A6" s="11"/>
      <c r="B6" s="26" t="s">
        <v>31</v>
      </c>
      <c r="C6" s="60" t="s">
        <v>32</v>
      </c>
      <c r="D6" s="61"/>
      <c r="E6" s="11"/>
      <c r="F6" s="11"/>
      <c r="G6" s="11"/>
      <c r="H6" s="11"/>
      <c r="I6" s="11"/>
      <c r="J6" s="11"/>
      <c r="K6" s="11"/>
      <c r="L6" s="11"/>
      <c r="M6" s="11"/>
      <c r="N6" s="11"/>
      <c r="O6" s="11"/>
      <c r="P6" s="11"/>
      <c r="Q6" s="11"/>
      <c r="R6" s="11"/>
      <c r="S6" s="11"/>
      <c r="T6" s="11"/>
      <c r="U6" s="11"/>
      <c r="V6" s="11"/>
      <c r="W6" s="11"/>
      <c r="X6" s="11"/>
      <c r="Y6" s="11"/>
    </row>
    <row r="7" spans="1:25" ht="13" x14ac:dyDescent="0.3">
      <c r="A7" s="10"/>
      <c r="B7" s="10"/>
      <c r="C7" s="26" t="s">
        <v>33</v>
      </c>
      <c r="D7" s="26" t="s">
        <v>34</v>
      </c>
      <c r="E7" s="11"/>
      <c r="F7" s="11"/>
      <c r="G7" s="11"/>
      <c r="H7" s="11"/>
      <c r="I7" s="11"/>
      <c r="J7" s="11"/>
      <c r="K7" s="11"/>
      <c r="L7" s="11"/>
      <c r="M7" s="11"/>
      <c r="N7" s="11"/>
      <c r="O7" s="11"/>
      <c r="P7" s="11"/>
      <c r="Q7" s="11"/>
      <c r="R7" s="11"/>
      <c r="S7" s="11"/>
      <c r="T7" s="11"/>
      <c r="U7" s="11"/>
      <c r="V7" s="11"/>
      <c r="W7" s="11"/>
      <c r="X7" s="11"/>
      <c r="Y7" s="11"/>
    </row>
    <row r="8" spans="1:25" ht="13" x14ac:dyDescent="0.3">
      <c r="A8" s="10" t="s">
        <v>29</v>
      </c>
      <c r="B8" s="21">
        <v>12500</v>
      </c>
      <c r="C8" s="21">
        <v>1200</v>
      </c>
      <c r="D8" s="14">
        <f>B8/B11*C11</f>
        <v>1257.4850299401196</v>
      </c>
      <c r="E8" s="11"/>
      <c r="F8" s="11"/>
      <c r="G8" s="11"/>
      <c r="H8" s="11"/>
      <c r="I8" s="11"/>
      <c r="J8" s="11"/>
      <c r="K8" s="11"/>
      <c r="L8" s="11"/>
      <c r="M8" s="11"/>
      <c r="N8" s="11"/>
      <c r="O8" s="11"/>
      <c r="P8" s="11"/>
      <c r="Q8" s="11"/>
      <c r="R8" s="11"/>
      <c r="S8" s="11"/>
      <c r="T8" s="11"/>
      <c r="U8" s="11"/>
      <c r="V8" s="11"/>
      <c r="W8" s="11"/>
      <c r="X8" s="11"/>
      <c r="Y8" s="11"/>
    </row>
    <row r="9" spans="1:25" ht="13" x14ac:dyDescent="0.3">
      <c r="A9" s="10" t="s">
        <v>28</v>
      </c>
      <c r="B9" s="21">
        <v>12550</v>
      </c>
      <c r="C9" s="21">
        <v>1320</v>
      </c>
      <c r="D9" s="14">
        <f>B9/B11*C11</f>
        <v>1262.5149700598804</v>
      </c>
      <c r="E9" s="11"/>
      <c r="F9" s="11"/>
      <c r="G9" s="11"/>
      <c r="H9" s="11"/>
      <c r="I9" s="11"/>
      <c r="J9" s="11"/>
      <c r="K9" s="11"/>
      <c r="L9" s="11"/>
      <c r="M9" s="11"/>
      <c r="N9" s="11"/>
      <c r="O9" s="11"/>
      <c r="P9" s="11"/>
      <c r="Q9" s="11"/>
      <c r="R9" s="11"/>
      <c r="S9" s="11"/>
      <c r="T9" s="11"/>
      <c r="U9" s="11"/>
      <c r="V9" s="11"/>
      <c r="W9" s="11"/>
      <c r="X9" s="11"/>
      <c r="Y9" s="11"/>
    </row>
    <row r="11" spans="1:25" ht="13" x14ac:dyDescent="0.3">
      <c r="A11" s="25" t="s">
        <v>117</v>
      </c>
      <c r="B11" s="31">
        <f t="shared" ref="B11:D11" si="0">SUM(B8:B9)</f>
        <v>25050</v>
      </c>
      <c r="C11" s="31">
        <f t="shared" si="0"/>
        <v>2520</v>
      </c>
      <c r="D11" s="38">
        <f t="shared" si="0"/>
        <v>2520</v>
      </c>
      <c r="E11" s="11"/>
      <c r="F11" s="11"/>
      <c r="G11" s="11"/>
      <c r="H11" s="11"/>
      <c r="I11" s="11"/>
      <c r="J11" s="11"/>
      <c r="K11" s="11"/>
      <c r="L11" s="11"/>
      <c r="M11" s="11"/>
      <c r="N11" s="11"/>
      <c r="O11" s="11"/>
      <c r="P11" s="11"/>
      <c r="Q11" s="11"/>
      <c r="R11" s="11"/>
      <c r="S11" s="11"/>
      <c r="T11" s="11"/>
      <c r="U11" s="11"/>
      <c r="V11" s="11"/>
      <c r="W11" s="11"/>
      <c r="X11" s="11"/>
      <c r="Y11" s="11"/>
    </row>
    <row r="12" spans="1:25"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row>
    <row r="13" spans="1:25" ht="39" x14ac:dyDescent="0.3">
      <c r="A13" s="11"/>
      <c r="B13" s="11"/>
      <c r="C13" s="25" t="s">
        <v>118</v>
      </c>
      <c r="D13" s="45">
        <f>CHITEST(C8:C9,D8:D9)</f>
        <v>2.2006076735235521E-2</v>
      </c>
      <c r="E13" s="11"/>
      <c r="F13" s="44" t="s">
        <v>82</v>
      </c>
      <c r="G13" s="11"/>
      <c r="H13" s="11"/>
      <c r="I13" s="11"/>
      <c r="J13" s="11"/>
      <c r="K13" s="11"/>
      <c r="L13" s="11"/>
      <c r="M13" s="11"/>
      <c r="N13" s="11"/>
      <c r="O13" s="11"/>
      <c r="P13" s="11"/>
      <c r="Q13" s="11"/>
      <c r="R13" s="11"/>
      <c r="S13" s="11"/>
      <c r="T13" s="11"/>
      <c r="U13" s="11"/>
      <c r="V13" s="11"/>
      <c r="W13" s="11"/>
      <c r="X13" s="11"/>
      <c r="Y13" s="11"/>
    </row>
    <row r="15" spans="1:25" ht="39" x14ac:dyDescent="0.3">
      <c r="D15" s="46"/>
      <c r="F15" s="47" t="s">
        <v>83</v>
      </c>
    </row>
  </sheetData>
  <mergeCells count="1">
    <mergeCell ref="C6:D6"/>
  </mergeCells>
  <pageMargins left="0" right="0" top="0" bottom="0" header="0" footer="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50"/>
  <sheetViews>
    <sheetView zoomScale="90" zoomScaleNormal="90" workbookViewId="0">
      <selection activeCell="A3" sqref="A3"/>
    </sheetView>
  </sheetViews>
  <sheetFormatPr defaultColWidth="14.453125" defaultRowHeight="12.5" x14ac:dyDescent="0.25"/>
  <cols>
    <col min="1" max="1" width="14.453125" style="12"/>
    <col min="2" max="2" width="20" style="12" customWidth="1"/>
    <col min="3" max="3" width="17.453125" style="12" customWidth="1"/>
    <col min="4" max="4" width="6.453125" style="12" customWidth="1"/>
    <col min="5" max="5" width="24.6328125" style="12" customWidth="1"/>
    <col min="6" max="6" width="14.7265625" style="12" customWidth="1"/>
    <col min="7" max="7" width="18.26953125" style="12" customWidth="1"/>
    <col min="8" max="16384" width="14.453125" style="12"/>
  </cols>
  <sheetData>
    <row r="1" spans="1:12" ht="15.5" x14ac:dyDescent="0.35">
      <c r="A1" s="7" t="s">
        <v>90</v>
      </c>
    </row>
    <row r="2" spans="1:12" x14ac:dyDescent="0.25">
      <c r="A2" s="11" t="s">
        <v>86</v>
      </c>
    </row>
    <row r="4" spans="1:12" ht="13" x14ac:dyDescent="0.3">
      <c r="A4" s="10" t="s">
        <v>0</v>
      </c>
      <c r="B4" s="19" t="s">
        <v>100</v>
      </c>
    </row>
    <row r="6" spans="1:12" ht="13" x14ac:dyDescent="0.3">
      <c r="A6" s="11"/>
      <c r="B6" s="26" t="s">
        <v>28</v>
      </c>
      <c r="C6" s="26" t="s">
        <v>29</v>
      </c>
      <c r="F6" s="26" t="s">
        <v>28</v>
      </c>
      <c r="G6" s="26" t="s">
        <v>29</v>
      </c>
    </row>
    <row r="7" spans="1:12" ht="13" x14ac:dyDescent="0.3">
      <c r="A7" s="11"/>
      <c r="B7" s="21">
        <v>3.5</v>
      </c>
      <c r="C7" s="21">
        <v>5.0999999999999996</v>
      </c>
      <c r="D7" s="11"/>
      <c r="E7" s="25" t="s">
        <v>46</v>
      </c>
      <c r="F7" s="39">
        <f t="shared" ref="F7:G7" si="0">AVERAGE(B7:B18)</f>
        <v>4.2249999999999996</v>
      </c>
      <c r="G7" s="39">
        <f t="shared" si="0"/>
        <v>5.1416666666666666</v>
      </c>
      <c r="H7" s="11"/>
    </row>
    <row r="8" spans="1:12" ht="13" x14ac:dyDescent="0.3">
      <c r="A8" s="11"/>
      <c r="B8" s="21">
        <v>4</v>
      </c>
      <c r="C8" s="21">
        <v>5.3</v>
      </c>
      <c r="D8" s="11"/>
      <c r="E8" s="25" t="s">
        <v>94</v>
      </c>
      <c r="F8" s="39">
        <f>_xlfn.STDEV.S(B7:B18)</f>
        <v>0.65799281565572354</v>
      </c>
      <c r="G8" s="39">
        <f>_xlfn.STDEV.S(C7:C18)</f>
        <v>0.65845319200426822</v>
      </c>
      <c r="H8" s="11"/>
    </row>
    <row r="9" spans="1:12" ht="13" x14ac:dyDescent="0.3">
      <c r="A9" s="11"/>
      <c r="B9" s="21">
        <v>4.3</v>
      </c>
      <c r="C9" s="21">
        <v>4.8</v>
      </c>
      <c r="D9" s="11"/>
      <c r="E9" s="25" t="s">
        <v>95</v>
      </c>
      <c r="F9" s="11">
        <f>COUNT(B7:B18)</f>
        <v>12</v>
      </c>
      <c r="G9" s="11">
        <f>COUNT(C7:C18)</f>
        <v>12</v>
      </c>
      <c r="H9" s="11"/>
      <c r="L9" s="49">
        <v>0.95</v>
      </c>
    </row>
    <row r="10" spans="1:12" ht="13" x14ac:dyDescent="0.3">
      <c r="A10" s="11"/>
      <c r="B10" s="21">
        <v>3.7</v>
      </c>
      <c r="C10" s="21">
        <v>4.7</v>
      </c>
      <c r="E10" s="5"/>
      <c r="L10" s="49">
        <v>0.97499999999999998</v>
      </c>
    </row>
    <row r="11" spans="1:12" ht="13" x14ac:dyDescent="0.3">
      <c r="A11" s="11"/>
      <c r="B11" s="21">
        <v>4.9000000000000004</v>
      </c>
      <c r="C11" s="21">
        <v>5</v>
      </c>
      <c r="D11" s="11"/>
      <c r="E11" s="25" t="s">
        <v>96</v>
      </c>
      <c r="F11" s="21">
        <v>0.95</v>
      </c>
      <c r="H11" s="11"/>
      <c r="L11" s="49">
        <v>0.99</v>
      </c>
    </row>
    <row r="12" spans="1:12" ht="13" x14ac:dyDescent="0.3">
      <c r="A12" s="11"/>
      <c r="B12" s="21">
        <v>5</v>
      </c>
      <c r="C12" s="21">
        <v>5.2</v>
      </c>
      <c r="D12" s="11"/>
      <c r="E12" s="25" t="s">
        <v>99</v>
      </c>
      <c r="F12" s="21">
        <f>1-F11</f>
        <v>5.0000000000000044E-2</v>
      </c>
      <c r="G12" s="11"/>
      <c r="H12" s="11"/>
      <c r="L12" s="49">
        <v>0.999</v>
      </c>
    </row>
    <row r="13" spans="1:12" ht="13" x14ac:dyDescent="0.3">
      <c r="A13" s="11"/>
      <c r="B13" s="21">
        <v>3.4</v>
      </c>
      <c r="C13" s="21">
        <v>6.2</v>
      </c>
      <c r="E13" s="5"/>
      <c r="H13" s="11"/>
    </row>
    <row r="14" spans="1:12" ht="13" x14ac:dyDescent="0.3">
      <c r="A14" s="11"/>
      <c r="B14" s="21">
        <v>5.2</v>
      </c>
      <c r="C14" s="21">
        <v>6</v>
      </c>
      <c r="D14" s="11"/>
      <c r="E14" s="25" t="s">
        <v>97</v>
      </c>
      <c r="F14" s="39">
        <f>_xlfn.CONFIDENCE.T(F12,F8,F9)</f>
        <v>0.41806868954898424</v>
      </c>
      <c r="G14" s="39">
        <f>_xlfn.CONFIDENCE.T(F12,G8,G9)</f>
        <v>0.41836119872561345</v>
      </c>
      <c r="H14" s="11"/>
    </row>
    <row r="15" spans="1:12" ht="13" x14ac:dyDescent="0.3">
      <c r="A15" s="11"/>
      <c r="B15" s="21">
        <v>4.2</v>
      </c>
      <c r="C15" s="21">
        <v>4.0999999999999996</v>
      </c>
      <c r="D15" s="11"/>
      <c r="E15" s="25" t="s">
        <v>98</v>
      </c>
      <c r="F15" s="40" t="str">
        <f>ROUND(F7,2) &amp;" +/- " &amp; ROUND(F14,2)</f>
        <v>4,23 +/- 0,42</v>
      </c>
      <c r="G15" s="40" t="str">
        <f>ROUND(G7,2) &amp;" +/- " &amp; ROUND(G14,2)</f>
        <v>5,14 +/- 0,42</v>
      </c>
      <c r="H15" s="11"/>
    </row>
    <row r="16" spans="1:12" ht="13" x14ac:dyDescent="0.3">
      <c r="A16" s="11"/>
      <c r="B16" s="21">
        <v>4.4000000000000004</v>
      </c>
      <c r="C16" s="21">
        <v>5</v>
      </c>
      <c r="D16" s="11"/>
      <c r="E16" s="10"/>
      <c r="F16" s="11"/>
      <c r="G16" s="11"/>
      <c r="H16" s="11"/>
    </row>
    <row r="17" spans="1:23" ht="13" x14ac:dyDescent="0.3">
      <c r="A17" s="11"/>
      <c r="B17" s="21">
        <v>3.3</v>
      </c>
      <c r="C17" s="21">
        <v>6</v>
      </c>
      <c r="D17" s="11"/>
      <c r="E17" s="10"/>
      <c r="F17" s="26" t="s">
        <v>28</v>
      </c>
      <c r="G17" s="26" t="s">
        <v>29</v>
      </c>
      <c r="H17" s="11"/>
    </row>
    <row r="18" spans="1:23" ht="13" x14ac:dyDescent="0.3">
      <c r="A18" s="11"/>
      <c r="B18" s="21">
        <v>4.8</v>
      </c>
      <c r="C18" s="21">
        <v>4.3</v>
      </c>
      <c r="D18" s="11"/>
      <c r="E18" s="25" t="s">
        <v>35</v>
      </c>
      <c r="F18" s="40">
        <f>F19-F14</f>
        <v>3.8069313104510156</v>
      </c>
      <c r="G18" s="40">
        <f>G19-G14</f>
        <v>4.7233054679410529</v>
      </c>
      <c r="H18" s="11"/>
    </row>
    <row r="19" spans="1:23" ht="13" x14ac:dyDescent="0.3">
      <c r="A19" s="11"/>
      <c r="B19" s="11"/>
      <c r="C19" s="11"/>
      <c r="D19" s="11"/>
      <c r="E19" s="25" t="s">
        <v>30</v>
      </c>
      <c r="F19" s="40">
        <f>F7</f>
        <v>4.2249999999999996</v>
      </c>
      <c r="G19" s="40">
        <f>G7</f>
        <v>5.1416666666666666</v>
      </c>
      <c r="H19" s="11"/>
    </row>
    <row r="20" spans="1:23" ht="13" x14ac:dyDescent="0.3">
      <c r="A20" s="11"/>
      <c r="B20" s="11"/>
      <c r="C20" s="11"/>
      <c r="D20" s="11"/>
      <c r="E20" s="25" t="s">
        <v>36</v>
      </c>
      <c r="F20" s="40">
        <f>F19+F14</f>
        <v>4.6430686895489837</v>
      </c>
      <c r="G20" s="40">
        <f>G19+G14</f>
        <v>5.5600278653922803</v>
      </c>
      <c r="H20" s="11"/>
    </row>
    <row r="21" spans="1:23" ht="13" x14ac:dyDescent="0.3">
      <c r="A21" s="25" t="s">
        <v>80</v>
      </c>
      <c r="B21" s="29">
        <f>_xlfn.T.TEST(B7:B18,C7:C18,2,2)</f>
        <v>2.503154885551319E-3</v>
      </c>
      <c r="D21" s="11"/>
      <c r="E21" s="10"/>
      <c r="F21" s="11"/>
      <c r="G21" s="11"/>
      <c r="H21" s="11"/>
    </row>
    <row r="22" spans="1:23" ht="13" x14ac:dyDescent="0.3">
      <c r="A22" s="11"/>
      <c r="B22" s="11"/>
      <c r="C22" s="11"/>
      <c r="E22" s="25" t="str">
        <f>"Do intervals overlap?" &amp; IF(F22&lt;G22," No!"," Yes!")</f>
        <v>Do intervals overlap? No!</v>
      </c>
      <c r="F22" s="40">
        <f>MIN(F20,G20)</f>
        <v>4.6430686895489837</v>
      </c>
      <c r="G22" s="40">
        <f>MAX(F18,G18)</f>
        <v>4.7233054679410529</v>
      </c>
      <c r="H22" s="11"/>
      <c r="I22" s="11"/>
      <c r="J22" s="11"/>
      <c r="K22" s="11"/>
      <c r="L22" s="11"/>
      <c r="M22" s="11"/>
      <c r="N22" s="11"/>
      <c r="O22" s="11"/>
      <c r="P22" s="11"/>
      <c r="Q22" s="11"/>
      <c r="R22" s="11"/>
      <c r="S22" s="11"/>
      <c r="T22" s="11"/>
      <c r="U22" s="11"/>
      <c r="V22" s="11"/>
      <c r="W22" s="11"/>
    </row>
    <row r="23" spans="1:23" ht="91" x14ac:dyDescent="0.3">
      <c r="D23" s="11"/>
      <c r="E23" s="48" t="s">
        <v>119</v>
      </c>
      <c r="F23" s="11"/>
      <c r="G23" s="11"/>
      <c r="H23" s="11"/>
      <c r="I23" s="11"/>
      <c r="J23" s="11"/>
      <c r="K23" s="11"/>
      <c r="L23" s="11"/>
      <c r="M23" s="11"/>
      <c r="N23" s="11"/>
      <c r="O23" s="11"/>
      <c r="P23" s="11"/>
      <c r="Q23" s="11"/>
      <c r="R23" s="11"/>
      <c r="S23" s="11"/>
      <c r="T23" s="11"/>
      <c r="U23" s="11"/>
      <c r="V23" s="11"/>
      <c r="W23" s="11"/>
    </row>
    <row r="24" spans="1:23" x14ac:dyDescent="0.25">
      <c r="D24" s="11"/>
      <c r="E24" s="11"/>
      <c r="F24" s="11"/>
      <c r="G24" s="11"/>
      <c r="H24" s="11"/>
      <c r="I24" s="11"/>
      <c r="J24" s="11"/>
      <c r="K24" s="11"/>
      <c r="L24" s="11"/>
      <c r="M24" s="11"/>
      <c r="N24" s="11"/>
      <c r="O24" s="11"/>
      <c r="P24" s="11"/>
      <c r="Q24" s="11"/>
      <c r="R24" s="11"/>
      <c r="S24" s="11"/>
      <c r="T24" s="11"/>
      <c r="U24" s="11"/>
      <c r="V24" s="11"/>
      <c r="W24" s="11"/>
    </row>
    <row r="25" spans="1:23" x14ac:dyDescent="0.25">
      <c r="D25" s="11"/>
      <c r="E25" s="11"/>
      <c r="F25" s="11"/>
      <c r="G25" s="11"/>
      <c r="H25" s="11"/>
      <c r="I25" s="11"/>
      <c r="J25" s="11"/>
      <c r="K25" s="11"/>
      <c r="L25" s="11"/>
      <c r="M25" s="11"/>
      <c r="N25" s="11"/>
      <c r="O25" s="11"/>
      <c r="P25" s="11"/>
      <c r="Q25" s="11"/>
      <c r="R25" s="11"/>
      <c r="S25" s="11"/>
      <c r="T25" s="11"/>
      <c r="U25" s="11"/>
      <c r="V25" s="11"/>
      <c r="W25" s="11"/>
    </row>
    <row r="26" spans="1:23" x14ac:dyDescent="0.25">
      <c r="D26" s="11"/>
      <c r="E26" s="11"/>
      <c r="F26" s="11"/>
      <c r="G26" s="11"/>
      <c r="H26" s="11"/>
      <c r="I26" s="11"/>
      <c r="J26" s="11"/>
      <c r="K26" s="11"/>
      <c r="L26" s="11"/>
      <c r="M26" s="11"/>
      <c r="N26" s="11"/>
      <c r="O26" s="11"/>
      <c r="P26" s="11"/>
      <c r="Q26" s="11"/>
      <c r="R26" s="11"/>
      <c r="S26" s="11"/>
      <c r="T26" s="11"/>
      <c r="U26" s="11"/>
      <c r="V26" s="11"/>
      <c r="W26" s="11"/>
    </row>
    <row r="27" spans="1:23" x14ac:dyDescent="0.25">
      <c r="D27" s="11"/>
      <c r="E27" s="11"/>
      <c r="F27" s="11"/>
      <c r="G27" s="11"/>
      <c r="H27" s="11"/>
      <c r="I27" s="11"/>
      <c r="J27" s="11"/>
      <c r="K27" s="11"/>
      <c r="L27" s="11"/>
      <c r="M27" s="11"/>
      <c r="N27" s="11"/>
      <c r="O27" s="11"/>
      <c r="P27" s="11"/>
      <c r="Q27" s="11"/>
      <c r="R27" s="11"/>
      <c r="S27" s="11"/>
      <c r="T27" s="11"/>
      <c r="U27" s="11"/>
      <c r="V27" s="11"/>
      <c r="W27" s="11"/>
    </row>
    <row r="28" spans="1:23" x14ac:dyDescent="0.25">
      <c r="D28" s="11"/>
      <c r="E28" s="11"/>
      <c r="F28" s="11"/>
      <c r="G28" s="11"/>
      <c r="H28" s="11"/>
      <c r="I28" s="11"/>
      <c r="J28" s="11"/>
      <c r="K28" s="11"/>
      <c r="L28" s="11"/>
      <c r="M28" s="11"/>
      <c r="N28" s="11"/>
      <c r="O28" s="11"/>
      <c r="P28" s="11"/>
      <c r="Q28" s="11"/>
      <c r="R28" s="11"/>
      <c r="S28" s="11"/>
      <c r="T28" s="11"/>
      <c r="U28" s="11"/>
      <c r="V28" s="11"/>
      <c r="W28" s="11"/>
    </row>
    <row r="29" spans="1:23" x14ac:dyDescent="0.25">
      <c r="D29" s="11"/>
      <c r="E29" s="11"/>
      <c r="F29" s="11"/>
      <c r="G29" s="11"/>
      <c r="H29" s="11"/>
      <c r="I29" s="11"/>
      <c r="J29" s="11"/>
      <c r="K29" s="11"/>
      <c r="L29" s="11"/>
      <c r="M29" s="11"/>
      <c r="N29" s="11"/>
      <c r="O29" s="11"/>
      <c r="P29" s="11"/>
      <c r="Q29" s="11"/>
      <c r="R29" s="11"/>
      <c r="S29" s="11"/>
      <c r="T29" s="11"/>
      <c r="U29" s="11"/>
      <c r="V29" s="11"/>
      <c r="W29" s="11"/>
    </row>
    <row r="30" spans="1:23" x14ac:dyDescent="0.25">
      <c r="D30" s="11"/>
      <c r="E30" s="11"/>
      <c r="F30" s="11"/>
      <c r="G30" s="11"/>
      <c r="H30" s="11"/>
      <c r="I30" s="11"/>
      <c r="J30" s="11"/>
      <c r="K30" s="11"/>
      <c r="L30" s="11"/>
      <c r="M30" s="11"/>
      <c r="N30" s="11"/>
      <c r="O30" s="11"/>
      <c r="P30" s="11"/>
      <c r="Q30" s="11"/>
      <c r="R30" s="11"/>
      <c r="S30" s="11"/>
      <c r="T30" s="11"/>
      <c r="U30" s="11"/>
      <c r="V30" s="11"/>
      <c r="W30" s="11"/>
    </row>
    <row r="31" spans="1:23" x14ac:dyDescent="0.25">
      <c r="D31" s="11"/>
      <c r="E31" s="11"/>
      <c r="F31" s="11"/>
      <c r="G31" s="11"/>
      <c r="H31" s="11"/>
      <c r="I31" s="11"/>
      <c r="J31" s="11"/>
      <c r="K31" s="11"/>
      <c r="L31" s="11"/>
      <c r="M31" s="11"/>
      <c r="N31" s="11"/>
      <c r="O31" s="11"/>
      <c r="P31" s="11"/>
      <c r="Q31" s="11"/>
      <c r="R31" s="11"/>
      <c r="S31" s="11"/>
      <c r="T31" s="11"/>
      <c r="U31" s="11"/>
      <c r="V31" s="11"/>
      <c r="W31" s="11"/>
    </row>
    <row r="32" spans="1:23" x14ac:dyDescent="0.25">
      <c r="D32" s="11"/>
      <c r="E32" s="11"/>
      <c r="F32" s="11"/>
      <c r="G32" s="11"/>
      <c r="H32" s="11"/>
      <c r="I32" s="11"/>
      <c r="J32" s="11"/>
      <c r="K32" s="11"/>
      <c r="L32" s="11"/>
      <c r="M32" s="11"/>
      <c r="N32" s="11"/>
      <c r="O32" s="11"/>
      <c r="P32" s="11"/>
      <c r="Q32" s="11"/>
      <c r="R32" s="11"/>
      <c r="S32" s="11"/>
      <c r="T32" s="11"/>
      <c r="U32" s="11"/>
      <c r="V32" s="11"/>
      <c r="W32" s="11"/>
    </row>
    <row r="33" spans="1:23" x14ac:dyDescent="0.25">
      <c r="D33" s="11"/>
      <c r="E33" s="11"/>
      <c r="F33" s="11"/>
      <c r="G33" s="11"/>
      <c r="H33" s="11"/>
      <c r="I33" s="11"/>
      <c r="J33" s="11"/>
      <c r="K33" s="11"/>
      <c r="L33" s="11"/>
      <c r="M33" s="11"/>
      <c r="N33" s="11"/>
      <c r="O33" s="11"/>
      <c r="P33" s="11"/>
      <c r="Q33" s="11"/>
      <c r="R33" s="11"/>
      <c r="S33" s="11"/>
      <c r="T33" s="11"/>
      <c r="U33" s="11"/>
      <c r="V33" s="11"/>
      <c r="W33" s="11"/>
    </row>
    <row r="34" spans="1:23" x14ac:dyDescent="0.25">
      <c r="D34" s="11"/>
      <c r="E34" s="11"/>
      <c r="F34" s="11"/>
      <c r="G34" s="11"/>
      <c r="H34" s="11"/>
      <c r="I34" s="11"/>
      <c r="J34" s="11"/>
      <c r="K34" s="11"/>
      <c r="L34" s="11"/>
      <c r="M34" s="11"/>
      <c r="N34" s="11"/>
      <c r="O34" s="11"/>
      <c r="P34" s="11"/>
      <c r="Q34" s="11"/>
      <c r="R34" s="11"/>
      <c r="S34" s="11"/>
      <c r="T34" s="11"/>
      <c r="U34" s="11"/>
      <c r="V34" s="11"/>
      <c r="W34" s="11"/>
    </row>
    <row r="35" spans="1:23" x14ac:dyDescent="0.25">
      <c r="D35" s="11"/>
      <c r="E35" s="11"/>
      <c r="F35" s="11"/>
      <c r="G35" s="11"/>
      <c r="H35" s="11"/>
      <c r="I35" s="11"/>
      <c r="J35" s="11"/>
      <c r="K35" s="11"/>
      <c r="L35" s="11"/>
      <c r="M35" s="11"/>
      <c r="N35" s="11"/>
      <c r="O35" s="11"/>
      <c r="P35" s="11"/>
      <c r="Q35" s="11"/>
      <c r="R35" s="11"/>
      <c r="S35" s="11"/>
      <c r="T35" s="11"/>
      <c r="U35" s="11"/>
      <c r="V35" s="11"/>
      <c r="W35" s="11"/>
    </row>
    <row r="36" spans="1:23" x14ac:dyDescent="0.25">
      <c r="D36" s="11"/>
      <c r="E36" s="11"/>
      <c r="F36" s="11"/>
      <c r="G36" s="11"/>
      <c r="H36" s="11"/>
      <c r="I36" s="11"/>
      <c r="J36" s="11"/>
      <c r="K36" s="11"/>
      <c r="L36" s="11"/>
      <c r="M36" s="11"/>
      <c r="N36" s="11"/>
      <c r="O36" s="11"/>
      <c r="P36" s="11"/>
      <c r="Q36" s="11"/>
      <c r="R36" s="11"/>
      <c r="S36" s="11"/>
      <c r="T36" s="11"/>
      <c r="U36" s="11"/>
      <c r="V36" s="11"/>
      <c r="W36" s="11"/>
    </row>
    <row r="37" spans="1:23" x14ac:dyDescent="0.25">
      <c r="A37" s="11"/>
      <c r="B37" s="11"/>
      <c r="C37" s="11"/>
      <c r="D37" s="11"/>
      <c r="E37" s="11"/>
      <c r="F37" s="11"/>
      <c r="G37" s="11"/>
      <c r="H37" s="11"/>
      <c r="I37" s="11"/>
      <c r="J37" s="11"/>
      <c r="K37" s="11"/>
      <c r="L37" s="11"/>
      <c r="M37" s="11"/>
      <c r="N37" s="11"/>
      <c r="O37" s="11"/>
      <c r="P37" s="11"/>
      <c r="Q37" s="11"/>
      <c r="R37" s="11"/>
      <c r="S37" s="11"/>
      <c r="T37" s="11"/>
      <c r="U37" s="11"/>
      <c r="V37" s="11"/>
      <c r="W37" s="11"/>
    </row>
    <row r="48" spans="1:23" x14ac:dyDescent="0.25">
      <c r="A48" s="11"/>
      <c r="B48" s="11"/>
      <c r="C48" s="11"/>
      <c r="D48" s="11"/>
    </row>
    <row r="49" spans="1:4" x14ac:dyDescent="0.25">
      <c r="A49" s="11"/>
      <c r="B49" s="11"/>
      <c r="C49" s="11"/>
      <c r="D49" s="11"/>
    </row>
    <row r="50" spans="1:4" x14ac:dyDescent="0.25">
      <c r="A50" s="11"/>
      <c r="B50" s="11"/>
      <c r="C50" s="11"/>
      <c r="D50" s="11"/>
    </row>
  </sheetData>
  <conditionalFormatting sqref="E22">
    <cfRule type="containsText" dxfId="1" priority="1" stopIfTrue="1" operator="containsText" text="Yes">
      <formula>NOT(ISERROR(SEARCH("Yes",E22)))</formula>
    </cfRule>
    <cfRule type="containsText" dxfId="0" priority="2" operator="containsText" text="No">
      <formula>NOT(ISERROR(SEARCH("No",E22)))</formula>
    </cfRule>
  </conditionalFormatting>
  <dataValidations count="1">
    <dataValidation type="list" allowBlank="1" showInputMessage="1" showErrorMessage="1" sqref="F11" xr:uid="{A8C51D8D-8017-4011-A3E8-1D832D938B40}">
      <formula1>$L$9:$L$12</formula1>
    </dataValidation>
  </dataValidations>
  <pageMargins left="0" right="0" top="0" bottom="0" header="0" footer="0"/>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Y31"/>
  <sheetViews>
    <sheetView zoomScaleNormal="100" workbookViewId="0">
      <selection activeCell="A3" sqref="A3"/>
    </sheetView>
  </sheetViews>
  <sheetFormatPr defaultColWidth="14.453125" defaultRowHeight="12.5" x14ac:dyDescent="0.25"/>
  <cols>
    <col min="1" max="1" width="14.453125" style="12"/>
    <col min="2" max="2" width="22.54296875" style="12" customWidth="1"/>
    <col min="3" max="3" width="20" style="12" bestFit="1" customWidth="1"/>
    <col min="4" max="4" width="5.26953125" style="12" customWidth="1"/>
    <col min="5" max="5" width="13.7265625" style="12" customWidth="1"/>
    <col min="6" max="6" width="14.453125" style="12"/>
    <col min="7" max="7" width="4.81640625" style="12" customWidth="1"/>
    <col min="8" max="16384" width="14.453125" style="12"/>
  </cols>
  <sheetData>
    <row r="1" spans="1:25" ht="15.5" x14ac:dyDescent="0.35">
      <c r="A1" s="7" t="s">
        <v>71</v>
      </c>
    </row>
    <row r="2" spans="1:25" x14ac:dyDescent="0.25">
      <c r="A2" s="11" t="s">
        <v>120</v>
      </c>
    </row>
    <row r="4" spans="1:25" ht="13" x14ac:dyDescent="0.3">
      <c r="A4" s="10" t="s">
        <v>0</v>
      </c>
      <c r="B4" s="19" t="s">
        <v>67</v>
      </c>
    </row>
    <row r="5" spans="1:25" ht="13" x14ac:dyDescent="0.3">
      <c r="B5" s="19" t="s">
        <v>68</v>
      </c>
    </row>
    <row r="6" spans="1:25" x14ac:dyDescent="0.25">
      <c r="A6" s="11"/>
      <c r="B6" s="11"/>
      <c r="C6" s="11"/>
      <c r="D6" s="11"/>
      <c r="E6" s="11"/>
      <c r="F6" s="11"/>
      <c r="G6" s="11"/>
      <c r="H6" s="11"/>
      <c r="I6" s="11"/>
      <c r="J6" s="11"/>
      <c r="K6" s="11"/>
      <c r="L6" s="11"/>
      <c r="M6" s="11"/>
      <c r="N6" s="11"/>
      <c r="O6" s="11"/>
      <c r="P6" s="11"/>
      <c r="Q6" s="11"/>
      <c r="R6" s="11"/>
      <c r="S6" s="11"/>
      <c r="T6" s="11"/>
      <c r="U6" s="11"/>
      <c r="V6" s="11"/>
      <c r="W6" s="11"/>
      <c r="X6" s="11"/>
      <c r="Y6" s="11"/>
    </row>
    <row r="8" spans="1:25" ht="13" x14ac:dyDescent="0.3">
      <c r="A8" s="11"/>
      <c r="B8" s="10" t="s">
        <v>18</v>
      </c>
      <c r="C8" s="10" t="s">
        <v>17</v>
      </c>
      <c r="D8" s="10"/>
      <c r="E8" s="11"/>
      <c r="F8" s="11"/>
      <c r="G8" s="11"/>
      <c r="H8" s="11"/>
      <c r="I8" s="11"/>
      <c r="J8" s="11"/>
      <c r="K8" s="11"/>
      <c r="L8" s="11"/>
      <c r="M8" s="11"/>
      <c r="N8" s="11"/>
      <c r="O8" s="11"/>
      <c r="P8" s="11"/>
      <c r="Q8" s="11"/>
      <c r="R8" s="11"/>
      <c r="S8" s="11"/>
      <c r="T8" s="11"/>
      <c r="U8" s="11"/>
      <c r="V8" s="11"/>
      <c r="W8" s="11"/>
      <c r="X8" s="11"/>
    </row>
    <row r="9" spans="1:25" x14ac:dyDescent="0.25">
      <c r="A9" s="11"/>
      <c r="B9" s="11">
        <v>19</v>
      </c>
      <c r="C9" s="11">
        <v>5.2</v>
      </c>
      <c r="D9" s="11"/>
      <c r="E9" s="11"/>
      <c r="F9" s="11"/>
      <c r="G9" s="11"/>
      <c r="H9" s="11"/>
      <c r="I9" s="11"/>
      <c r="J9" s="11"/>
      <c r="K9" s="11"/>
      <c r="L9" s="11"/>
      <c r="M9" s="11"/>
      <c r="N9" s="11"/>
      <c r="O9" s="11"/>
      <c r="P9" s="11"/>
      <c r="Q9" s="11"/>
      <c r="R9" s="11"/>
      <c r="S9" s="11"/>
      <c r="T9" s="11"/>
      <c r="U9" s="11"/>
      <c r="V9" s="11"/>
      <c r="W9" s="11"/>
      <c r="X9" s="11"/>
    </row>
    <row r="10" spans="1:25" ht="13" x14ac:dyDescent="0.3">
      <c r="A10" s="11"/>
      <c r="B10" s="11">
        <v>14</v>
      </c>
      <c r="C10" s="11">
        <v>3.4</v>
      </c>
      <c r="D10" s="11"/>
      <c r="E10" s="21" t="s">
        <v>58</v>
      </c>
      <c r="F10" s="29">
        <f>CORREL(C9:C24,B9:B24)</f>
        <v>-0.80447131470781463</v>
      </c>
      <c r="G10" s="11"/>
      <c r="H10" s="11"/>
      <c r="I10" s="11"/>
      <c r="J10" s="11"/>
      <c r="K10" s="11"/>
      <c r="L10" s="11"/>
      <c r="M10" s="11"/>
      <c r="N10" s="11"/>
      <c r="O10" s="11"/>
      <c r="P10" s="11"/>
      <c r="Q10" s="11"/>
      <c r="R10" s="11"/>
      <c r="S10" s="11"/>
      <c r="T10" s="11"/>
      <c r="U10" s="11"/>
      <c r="V10" s="11"/>
      <c r="W10" s="11"/>
      <c r="X10" s="11"/>
    </row>
    <row r="11" spans="1:25" x14ac:dyDescent="0.25">
      <c r="A11" s="11"/>
      <c r="B11" s="11">
        <v>17</v>
      </c>
      <c r="C11" s="11">
        <v>6.1</v>
      </c>
      <c r="D11" s="11"/>
      <c r="E11" s="11"/>
      <c r="F11" s="11"/>
      <c r="G11" s="11"/>
      <c r="I11" s="11"/>
      <c r="J11" s="11"/>
      <c r="K11" s="11"/>
      <c r="L11" s="11"/>
      <c r="M11" s="11"/>
      <c r="N11" s="11"/>
      <c r="O11" s="11"/>
      <c r="P11" s="11"/>
      <c r="Q11" s="11"/>
      <c r="R11" s="11"/>
      <c r="S11" s="11"/>
      <c r="T11" s="11"/>
      <c r="U11" s="11"/>
      <c r="V11" s="11"/>
      <c r="W11" s="11"/>
      <c r="X11" s="11"/>
    </row>
    <row r="12" spans="1:25" x14ac:dyDescent="0.25">
      <c r="A12" s="11"/>
      <c r="B12" s="11">
        <v>9</v>
      </c>
      <c r="C12" s="11">
        <v>5</v>
      </c>
      <c r="D12" s="11"/>
      <c r="E12" s="11" t="s">
        <v>69</v>
      </c>
      <c r="F12" s="11">
        <f>INTERCEPT(C9:C24,B9:B24)</f>
        <v>7.6559903560830858</v>
      </c>
      <c r="H12" s="11"/>
      <c r="I12" s="11"/>
      <c r="J12" s="11"/>
      <c r="K12" s="11"/>
      <c r="L12" s="11"/>
      <c r="M12" s="11"/>
      <c r="N12" s="11"/>
      <c r="O12" s="11"/>
      <c r="P12" s="11"/>
      <c r="Q12" s="11"/>
      <c r="R12" s="11"/>
      <c r="S12" s="11"/>
      <c r="T12" s="11"/>
      <c r="U12" s="11"/>
      <c r="V12" s="11"/>
      <c r="W12" s="11"/>
      <c r="X12" s="11"/>
    </row>
    <row r="13" spans="1:25" x14ac:dyDescent="0.25">
      <c r="A13" s="11"/>
      <c r="B13" s="11">
        <v>12</v>
      </c>
      <c r="C13" s="11">
        <v>4.2</v>
      </c>
      <c r="D13" s="11"/>
      <c r="E13" s="11" t="s">
        <v>70</v>
      </c>
      <c r="F13" s="11">
        <f>SLOPE(C9:C24,B9:B24)</f>
        <v>-0.20623145400593471</v>
      </c>
      <c r="G13" s="11"/>
      <c r="H13" s="11"/>
      <c r="I13" s="11"/>
      <c r="J13" s="11"/>
      <c r="K13" s="11"/>
      <c r="L13" s="11"/>
      <c r="M13" s="11"/>
      <c r="N13" s="11"/>
      <c r="O13" s="11"/>
      <c r="P13" s="11"/>
      <c r="Q13" s="11"/>
      <c r="R13" s="11"/>
      <c r="S13" s="11"/>
      <c r="T13" s="11"/>
      <c r="U13" s="11"/>
      <c r="V13" s="11"/>
      <c r="W13" s="11"/>
      <c r="X13" s="11"/>
    </row>
    <row r="14" spans="1:25" x14ac:dyDescent="0.25">
      <c r="A14" s="11"/>
      <c r="B14" s="11">
        <v>28</v>
      </c>
      <c r="C14" s="11">
        <v>2.5</v>
      </c>
      <c r="D14" s="11"/>
      <c r="E14" s="32"/>
      <c r="F14" s="32"/>
      <c r="G14" s="32"/>
      <c r="H14" s="32"/>
      <c r="I14" s="32"/>
      <c r="J14" s="32"/>
      <c r="K14" s="32"/>
      <c r="L14" s="11"/>
      <c r="M14" s="11"/>
      <c r="N14" s="11"/>
      <c r="O14" s="11"/>
      <c r="P14" s="11"/>
      <c r="Q14" s="11"/>
      <c r="R14" s="11"/>
      <c r="S14" s="11"/>
      <c r="T14" s="11"/>
      <c r="U14" s="11"/>
      <c r="V14" s="11"/>
      <c r="W14" s="11"/>
      <c r="X14" s="11"/>
    </row>
    <row r="15" spans="1:25" x14ac:dyDescent="0.25">
      <c r="A15" s="11"/>
      <c r="B15" s="11">
        <v>21</v>
      </c>
      <c r="C15" s="11">
        <v>3.2</v>
      </c>
      <c r="D15" s="11"/>
      <c r="E15" s="32"/>
      <c r="F15" s="32"/>
      <c r="G15" s="32"/>
      <c r="H15" s="32"/>
      <c r="I15" s="32"/>
      <c r="J15" s="32"/>
      <c r="K15" s="32"/>
      <c r="L15" s="11"/>
      <c r="M15" s="11"/>
      <c r="N15" s="11"/>
      <c r="O15" s="11"/>
      <c r="P15" s="11"/>
      <c r="Q15" s="11"/>
      <c r="R15" s="11"/>
      <c r="S15" s="11"/>
      <c r="T15" s="11"/>
      <c r="U15" s="11"/>
      <c r="V15" s="11"/>
      <c r="W15" s="11"/>
      <c r="X15" s="11"/>
    </row>
    <row r="16" spans="1:25" x14ac:dyDescent="0.25">
      <c r="A16" s="11"/>
      <c r="B16" s="11">
        <v>4</v>
      </c>
      <c r="C16" s="11">
        <v>6.8</v>
      </c>
      <c r="D16" s="11"/>
      <c r="E16" s="32"/>
      <c r="F16" s="32"/>
      <c r="G16" s="32"/>
      <c r="H16" s="32"/>
      <c r="I16" s="32"/>
      <c r="J16" s="32"/>
      <c r="K16" s="32"/>
      <c r="L16" s="11"/>
      <c r="M16" s="11"/>
      <c r="N16" s="11"/>
      <c r="O16" s="11"/>
      <c r="P16" s="11"/>
      <c r="Q16" s="11"/>
      <c r="R16" s="11"/>
      <c r="S16" s="11"/>
      <c r="T16" s="11"/>
      <c r="U16" s="11"/>
      <c r="V16" s="11"/>
      <c r="W16" s="11"/>
      <c r="X16" s="11"/>
    </row>
    <row r="17" spans="1:25" x14ac:dyDescent="0.25">
      <c r="A17" s="11"/>
      <c r="B17" s="11">
        <v>5</v>
      </c>
      <c r="C17" s="11">
        <v>8.1</v>
      </c>
      <c r="D17" s="11"/>
      <c r="E17" s="30"/>
      <c r="F17" s="30"/>
      <c r="G17" s="30"/>
      <c r="H17" s="30"/>
      <c r="I17" s="30"/>
      <c r="J17" s="30"/>
      <c r="K17" s="30"/>
      <c r="L17" s="11"/>
      <c r="M17" s="11"/>
      <c r="N17" s="11"/>
      <c r="O17" s="11"/>
      <c r="P17" s="11"/>
      <c r="Q17" s="11"/>
      <c r="R17" s="11"/>
      <c r="S17" s="11"/>
      <c r="T17" s="11"/>
      <c r="U17" s="11"/>
      <c r="V17" s="11"/>
      <c r="W17" s="11"/>
      <c r="X17" s="11"/>
    </row>
    <row r="18" spans="1:25" x14ac:dyDescent="0.25">
      <c r="A18" s="11"/>
      <c r="B18" s="11">
        <v>17</v>
      </c>
      <c r="C18" s="11">
        <v>2.8</v>
      </c>
      <c r="D18" s="11"/>
      <c r="E18" s="30"/>
      <c r="F18" s="30"/>
      <c r="G18" s="30"/>
      <c r="H18" s="30"/>
      <c r="I18" s="30"/>
      <c r="J18" s="30"/>
      <c r="K18" s="30"/>
      <c r="L18" s="11"/>
      <c r="M18" s="11"/>
      <c r="N18" s="11"/>
      <c r="O18" s="11"/>
      <c r="P18" s="11"/>
      <c r="Q18" s="11"/>
      <c r="R18" s="11"/>
      <c r="S18" s="11"/>
      <c r="T18" s="11"/>
      <c r="U18" s="11"/>
      <c r="V18" s="11"/>
      <c r="W18" s="11"/>
      <c r="X18" s="11"/>
    </row>
    <row r="19" spans="1:25" x14ac:dyDescent="0.25">
      <c r="A19" s="11"/>
      <c r="B19" s="11">
        <v>19</v>
      </c>
      <c r="C19" s="11">
        <v>3.4</v>
      </c>
      <c r="D19" s="11"/>
      <c r="G19" s="11"/>
      <c r="H19" s="11"/>
      <c r="I19" s="11"/>
      <c r="J19" s="11"/>
      <c r="K19" s="11"/>
      <c r="L19" s="11"/>
      <c r="M19" s="11"/>
      <c r="N19" s="11"/>
      <c r="O19" s="11"/>
      <c r="P19" s="11"/>
      <c r="Q19" s="11"/>
      <c r="R19" s="11"/>
      <c r="S19" s="11"/>
      <c r="T19" s="11"/>
      <c r="U19" s="11"/>
      <c r="V19" s="11"/>
      <c r="W19" s="11"/>
      <c r="X19" s="11"/>
    </row>
    <row r="20" spans="1:25" ht="13" x14ac:dyDescent="0.3">
      <c r="A20" s="11"/>
      <c r="B20" s="11">
        <v>10</v>
      </c>
      <c r="C20" s="11">
        <v>6.3</v>
      </c>
      <c r="D20" s="11"/>
      <c r="E20" s="31"/>
      <c r="F20" s="29"/>
      <c r="G20" s="11"/>
      <c r="H20" s="11"/>
      <c r="I20" s="11"/>
      <c r="J20" s="11"/>
      <c r="K20" s="11"/>
      <c r="L20" s="11"/>
      <c r="M20" s="11"/>
      <c r="N20" s="11"/>
      <c r="O20" s="11"/>
      <c r="P20" s="11"/>
      <c r="Q20" s="11"/>
      <c r="R20" s="11"/>
      <c r="S20" s="11"/>
      <c r="T20" s="11"/>
      <c r="U20" s="11"/>
      <c r="V20" s="11"/>
      <c r="W20" s="11"/>
      <c r="X20" s="11"/>
    </row>
    <row r="21" spans="1:25" ht="13" x14ac:dyDescent="0.3">
      <c r="A21" s="11"/>
      <c r="B21" s="11">
        <v>16</v>
      </c>
      <c r="C21" s="11">
        <v>4.0999999999999996</v>
      </c>
      <c r="D21" s="11"/>
      <c r="E21" s="31"/>
      <c r="F21" s="29"/>
      <c r="G21" s="11"/>
      <c r="H21" s="11"/>
      <c r="I21" s="11"/>
      <c r="J21" s="11"/>
      <c r="K21" s="11"/>
      <c r="L21" s="11"/>
      <c r="M21" s="11"/>
      <c r="N21" s="11"/>
      <c r="O21" s="11"/>
      <c r="P21" s="11"/>
      <c r="Q21" s="11"/>
      <c r="R21" s="11"/>
      <c r="S21" s="11"/>
      <c r="T21" s="11"/>
      <c r="U21" s="11"/>
      <c r="V21" s="11"/>
      <c r="W21" s="11"/>
      <c r="X21" s="11"/>
    </row>
    <row r="22" spans="1:25" x14ac:dyDescent="0.25">
      <c r="A22" s="11"/>
      <c r="B22" s="11">
        <v>17</v>
      </c>
      <c r="C22" s="11">
        <v>3.1</v>
      </c>
      <c r="D22" s="11"/>
      <c r="E22" s="11"/>
      <c r="F22" s="11"/>
      <c r="G22" s="11"/>
      <c r="H22" s="11"/>
      <c r="I22" s="11"/>
      <c r="J22" s="11"/>
      <c r="K22" s="11"/>
      <c r="L22" s="11"/>
      <c r="M22" s="11"/>
      <c r="N22" s="11"/>
      <c r="O22" s="11"/>
      <c r="P22" s="11"/>
      <c r="Q22" s="11"/>
      <c r="R22" s="11"/>
      <c r="S22" s="11"/>
      <c r="T22" s="11"/>
      <c r="U22" s="11"/>
      <c r="V22" s="11"/>
      <c r="W22" s="11"/>
      <c r="X22" s="11"/>
    </row>
    <row r="23" spans="1:25" x14ac:dyDescent="0.25">
      <c r="A23" s="11"/>
      <c r="B23" s="11">
        <v>13</v>
      </c>
      <c r="C23" s="11">
        <v>4.9000000000000004</v>
      </c>
      <c r="D23" s="11"/>
      <c r="E23" s="11"/>
      <c r="F23" s="11"/>
      <c r="G23" s="11"/>
      <c r="H23" s="11"/>
      <c r="I23" s="11"/>
      <c r="J23" s="11"/>
      <c r="K23" s="11"/>
      <c r="L23" s="11"/>
      <c r="M23" s="11"/>
      <c r="N23" s="11"/>
      <c r="O23" s="11"/>
      <c r="P23" s="11"/>
      <c r="Q23" s="11"/>
      <c r="R23" s="11"/>
      <c r="S23" s="11"/>
      <c r="T23" s="11"/>
      <c r="U23" s="11"/>
      <c r="V23" s="11"/>
      <c r="W23" s="11"/>
      <c r="X23" s="11"/>
    </row>
    <row r="24" spans="1:25" x14ac:dyDescent="0.25">
      <c r="A24" s="11"/>
      <c r="B24" s="11">
        <v>3</v>
      </c>
      <c r="C24" s="11">
        <v>7.2</v>
      </c>
      <c r="D24" s="11"/>
      <c r="E24" s="11"/>
      <c r="F24" s="11"/>
      <c r="G24" s="11"/>
      <c r="H24" s="11"/>
      <c r="I24" s="11"/>
      <c r="J24" s="11"/>
      <c r="K24" s="11"/>
      <c r="L24" s="11"/>
      <c r="M24" s="11"/>
      <c r="N24" s="11"/>
      <c r="O24" s="11"/>
      <c r="P24" s="11"/>
      <c r="Q24" s="11"/>
      <c r="R24" s="11"/>
      <c r="S24" s="11"/>
      <c r="T24" s="11"/>
      <c r="U24" s="11"/>
      <c r="V24" s="11"/>
      <c r="W24" s="11"/>
      <c r="X24" s="11"/>
    </row>
    <row r="25" spans="1:25" x14ac:dyDescent="0.25">
      <c r="A25" s="11"/>
      <c r="B25" s="11"/>
      <c r="C25" s="11"/>
      <c r="D25" s="11"/>
      <c r="E25" s="11"/>
      <c r="F25" s="11"/>
      <c r="G25" s="11"/>
      <c r="H25" s="11"/>
      <c r="I25" s="11"/>
      <c r="J25" s="11"/>
      <c r="K25" s="11"/>
      <c r="L25" s="11"/>
      <c r="M25" s="11"/>
      <c r="N25" s="11"/>
      <c r="O25" s="11"/>
      <c r="P25" s="11"/>
      <c r="Q25" s="11"/>
      <c r="R25" s="11"/>
      <c r="S25" s="11"/>
      <c r="T25" s="11"/>
      <c r="U25" s="11"/>
      <c r="V25" s="11"/>
      <c r="W25" s="11"/>
      <c r="X25" s="11"/>
      <c r="Y25" s="11"/>
    </row>
    <row r="26" spans="1:25" x14ac:dyDescent="0.25">
      <c r="A26" s="11"/>
      <c r="B26" s="11"/>
      <c r="C26" s="11"/>
      <c r="D26" s="11"/>
      <c r="E26" s="11"/>
      <c r="F26" s="11"/>
      <c r="G26" s="11"/>
      <c r="H26" s="11"/>
      <c r="I26" s="11"/>
      <c r="J26" s="11"/>
      <c r="K26" s="11"/>
      <c r="L26" s="11"/>
      <c r="M26" s="11"/>
      <c r="N26" s="11"/>
      <c r="O26" s="11"/>
      <c r="P26" s="11"/>
      <c r="Q26" s="11"/>
      <c r="R26" s="11"/>
      <c r="S26" s="11"/>
      <c r="T26" s="11"/>
      <c r="U26" s="11"/>
      <c r="V26" s="11"/>
      <c r="W26" s="11"/>
      <c r="X26" s="11"/>
      <c r="Y26" s="11"/>
    </row>
    <row r="27" spans="1:25" x14ac:dyDescent="0.25">
      <c r="A27" s="11"/>
      <c r="B27" s="11"/>
      <c r="C27" s="11"/>
      <c r="D27" s="11"/>
      <c r="E27" s="11"/>
      <c r="F27" s="11"/>
      <c r="G27" s="11"/>
      <c r="H27" s="11"/>
      <c r="I27" s="11"/>
      <c r="J27" s="11"/>
      <c r="K27" s="11"/>
      <c r="L27" s="11"/>
      <c r="M27" s="11"/>
      <c r="N27" s="11"/>
      <c r="O27" s="11"/>
      <c r="P27" s="11"/>
      <c r="Q27" s="11"/>
      <c r="R27" s="11"/>
      <c r="S27" s="11"/>
      <c r="T27" s="11"/>
      <c r="U27" s="11"/>
      <c r="V27" s="11"/>
      <c r="W27" s="11"/>
      <c r="X27" s="11"/>
      <c r="Y27" s="11"/>
    </row>
    <row r="28" spans="1:25" x14ac:dyDescent="0.25">
      <c r="A28" s="11"/>
      <c r="B28" s="11"/>
      <c r="C28" s="11"/>
      <c r="D28" s="11"/>
      <c r="E28" s="11"/>
      <c r="F28" s="11"/>
      <c r="G28" s="11"/>
      <c r="H28" s="11"/>
      <c r="I28" s="11"/>
      <c r="J28" s="11"/>
      <c r="K28" s="11"/>
      <c r="L28" s="11"/>
      <c r="M28" s="11"/>
      <c r="N28" s="11"/>
      <c r="O28" s="11"/>
      <c r="P28" s="11"/>
      <c r="Q28" s="11"/>
      <c r="R28" s="11"/>
      <c r="S28" s="11"/>
      <c r="T28" s="11"/>
      <c r="U28" s="11"/>
      <c r="V28" s="11"/>
      <c r="W28" s="11"/>
      <c r="X28" s="11"/>
      <c r="Y28" s="11"/>
    </row>
    <row r="29" spans="1:25" x14ac:dyDescent="0.25">
      <c r="A29" s="11"/>
      <c r="B29" s="11"/>
      <c r="C29" s="11"/>
      <c r="D29" s="11"/>
      <c r="E29" s="11"/>
      <c r="F29" s="11"/>
      <c r="G29" s="11"/>
      <c r="H29" s="11"/>
      <c r="I29" s="11"/>
      <c r="J29" s="11"/>
      <c r="K29" s="11"/>
      <c r="L29" s="11"/>
      <c r="M29" s="11"/>
      <c r="N29" s="11"/>
      <c r="O29" s="11"/>
      <c r="P29" s="11"/>
      <c r="Q29" s="11"/>
      <c r="R29" s="11"/>
      <c r="S29" s="11"/>
      <c r="T29" s="11"/>
      <c r="U29" s="11"/>
      <c r="V29" s="11"/>
      <c r="W29" s="11"/>
      <c r="X29" s="11"/>
      <c r="Y29" s="11"/>
    </row>
    <row r="30" spans="1:25" x14ac:dyDescent="0.25">
      <c r="A30" s="11"/>
      <c r="B30" s="11"/>
      <c r="C30" s="11"/>
      <c r="D30" s="11"/>
      <c r="E30" s="11"/>
      <c r="F30" s="11"/>
      <c r="G30" s="11"/>
      <c r="H30" s="11"/>
      <c r="I30" s="11"/>
      <c r="J30" s="11"/>
      <c r="K30" s="11"/>
      <c r="L30" s="11"/>
      <c r="M30" s="11"/>
      <c r="N30" s="11"/>
      <c r="O30" s="11"/>
      <c r="P30" s="11"/>
      <c r="Q30" s="11"/>
      <c r="R30" s="11"/>
      <c r="S30" s="11"/>
      <c r="T30" s="11"/>
      <c r="U30" s="11"/>
      <c r="V30" s="11"/>
      <c r="W30" s="11"/>
      <c r="X30" s="11"/>
      <c r="Y30" s="11"/>
    </row>
    <row r="31" spans="1:25" x14ac:dyDescent="0.25">
      <c r="A31" s="11"/>
      <c r="B31" s="11"/>
      <c r="C31" s="11"/>
      <c r="D31" s="11"/>
      <c r="E31" s="11"/>
      <c r="F31" s="11"/>
      <c r="G31" s="11"/>
      <c r="H31" s="11"/>
      <c r="I31" s="11"/>
      <c r="J31" s="11"/>
      <c r="K31" s="11"/>
      <c r="L31" s="11"/>
      <c r="M31" s="11"/>
      <c r="N31" s="11"/>
      <c r="O31" s="11"/>
      <c r="P31" s="11"/>
      <c r="Q31" s="11"/>
      <c r="R31" s="11"/>
      <c r="S31" s="11"/>
      <c r="T31" s="11"/>
      <c r="U31" s="11"/>
      <c r="V31" s="11"/>
      <c r="W31" s="11"/>
      <c r="X31" s="11"/>
      <c r="Y31" s="11"/>
    </row>
  </sheetData>
  <pageMargins left="0" right="0" top="0" bottom="0" header="0" footer="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Översikt</vt:lpstr>
      <vt:lpstr>Beskrivande</vt:lpstr>
      <vt:lpstr>Centralmått</vt:lpstr>
      <vt:lpstr>Spridningsmått</vt:lpstr>
      <vt:lpstr>Pearson</vt:lpstr>
      <vt:lpstr>Spearman</vt:lpstr>
      <vt:lpstr>T-test</vt:lpstr>
      <vt:lpstr>Chi kvadrat</vt:lpstr>
      <vt:lpstr>Skillnader</vt:lpstr>
      <vt:lpstr>Samband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Joakim Hasselblad</dc:creator>
  <cp:keywords/>
  <dc:description/>
  <cp:lastModifiedBy>Joakim Hasselblad</cp:lastModifiedBy>
  <cp:revision/>
  <dcterms:created xsi:type="dcterms:W3CDTF">2021-10-05T23:14:48Z</dcterms:created>
  <dcterms:modified xsi:type="dcterms:W3CDTF">2026-05-05T19:26:49Z</dcterms:modified>
  <cp:category/>
  <cp:contentStatus/>
</cp:coreProperties>
</file>