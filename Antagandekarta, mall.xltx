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akim.hasselblad\OneDrive - PÅ AB\Omvärldsbevakning\Produktutveckling, product management\Business Model Canvas, Value Proposition Design\"/>
    </mc:Choice>
  </mc:AlternateContent>
  <xr:revisionPtr revIDLastSave="0" documentId="13_ncr:1_{27621EF7-A48F-48F2-9793-7983380CA99A}" xr6:coauthVersionLast="47" xr6:coauthVersionMax="47" xr10:uidLastSave="{00000000-0000-0000-0000-000000000000}"/>
  <bookViews>
    <workbookView xWindow="-110" yWindow="-110" windowWidth="19420" windowHeight="11620" xr2:uid="{16DB11CC-F97B-42DC-8073-04707CB428C3}"/>
  </bookViews>
  <sheets>
    <sheet name="Introduktion" sheetId="7" r:id="rId1"/>
    <sheet name="Desirability" sheetId="2" r:id="rId2"/>
    <sheet name="Feasibility" sheetId="3" r:id="rId3"/>
    <sheet name="Viability" sheetId="4" r:id="rId4"/>
    <sheet name="Antagandekarta" sheetId="1" r:id="rId5"/>
    <sheet name="Testkort" sheetId="5" r:id="rId6"/>
    <sheet name="Insiktskort" sheetId="6" r:id="rId7"/>
  </sheets>
  <definedNames>
    <definedName name="Betydelse" localSheetId="6">Insiktskort!#REF!</definedName>
    <definedName name="Betydelse">Testkort!$F$4:$F$6</definedName>
    <definedName name="Handlingsbehov">Insiktskort!$G$4:$G$6</definedName>
    <definedName name="Kostnad" localSheetId="6">Insiktskort!#REF!</definedName>
    <definedName name="Kostnad">Testkort!$G$4:$G$6</definedName>
    <definedName name="Tidsbehov" localSheetId="6">Insiktskort!$G$4:$G$6</definedName>
    <definedName name="Tidsbehov">Testkort!$I$4:$I$6</definedName>
    <definedName name="Tillförligtlighet" localSheetId="6">Insiktskort!$F$4:$F$6</definedName>
    <definedName name="Tillförligtlighet">Testkort!$H$4:$H$6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H11" i="1"/>
  <c r="I11" i="1"/>
  <c r="G10" i="1"/>
  <c r="H10" i="1"/>
  <c r="I10" i="1"/>
  <c r="I7" i="1"/>
  <c r="I8" i="1"/>
  <c r="I9" i="1"/>
  <c r="H7" i="1"/>
  <c r="H8" i="1"/>
  <c r="H9" i="1"/>
  <c r="G7" i="1"/>
  <c r="G8" i="1"/>
  <c r="G9" i="1"/>
  <c r="H6" i="1"/>
  <c r="I6" i="1"/>
  <c r="G6" i="1"/>
  <c r="A7" i="1"/>
  <c r="A8" i="1" s="1"/>
</calcChain>
</file>

<file path=xl/sharedStrings.xml><?xml version="1.0" encoding="utf-8"?>
<sst xmlns="http://schemas.openxmlformats.org/spreadsheetml/2006/main" count="134" uniqueCount="103">
  <si>
    <t>Nr</t>
  </si>
  <si>
    <t>Rubrik</t>
  </si>
  <si>
    <t>Beskrivning</t>
  </si>
  <si>
    <t>Behov av bevis</t>
  </si>
  <si>
    <t>Betydelse</t>
  </si>
  <si>
    <t>Rubrik 1</t>
  </si>
  <si>
    <t>Rubrik 2</t>
  </si>
  <si>
    <t>Rubrik 3</t>
  </si>
  <si>
    <t>Beskrivning 1</t>
  </si>
  <si>
    <t>Beskrivning 2</t>
  </si>
  <si>
    <t>Beskrivning 3</t>
  </si>
  <si>
    <t>Desirability</t>
  </si>
  <si>
    <t>Feasibility</t>
  </si>
  <si>
    <t>Viability</t>
  </si>
  <si>
    <t>Rubrik 4</t>
  </si>
  <si>
    <t>Beskrivning 4</t>
  </si>
  <si>
    <t>Rubrik 5</t>
  </si>
  <si>
    <t>Rubrik 6</t>
  </si>
  <si>
    <t>Beskrivning 6</t>
  </si>
  <si>
    <t>Beskrivning 5</t>
  </si>
  <si>
    <t>Typ av antagande</t>
  </si>
  <si>
    <t>Antagandekarta</t>
  </si>
  <si>
    <t>Använd antagandekartan för att identifiera de antaganden ni främst behöver testa.</t>
  </si>
  <si>
    <t>"Vill de ha det här?"</t>
  </si>
  <si>
    <t>"Kan vi göra det här?"</t>
  </si>
  <si>
    <t>"Ska vi göra det här?"</t>
  </si>
  <si>
    <t>Utforska dessa antaganden först</t>
  </si>
  <si>
    <t>Utforska dessa antaganden sist</t>
  </si>
  <si>
    <t>Utforska dessa antaganden härnäst</t>
  </si>
  <si>
    <t>Vi tror att vi …</t>
  </si>
  <si>
    <t>fokuserar på brister som är verkligt betydelsefulla för målgruppen</t>
  </si>
  <si>
    <t>hanterar uppgifter som är verkligt betydelsefulla för målgruppen</t>
  </si>
  <si>
    <t>fokuserar på framgångsfaktorer som är verkligt betydelsefulla för målgruppen</t>
  </si>
  <si>
    <t>Vi tror att</t>
  </si>
  <si>
    <t>våra produkter löser värdefulla uppgifter för målgruppen</t>
  </si>
  <si>
    <t>våra produkter hanterar de brister som betyder mest för målgruppen</t>
  </si>
  <si>
    <t xml:space="preserve">våra produkter främjar de framgångsfaktorer som betyder mest för målgruppen </t>
  </si>
  <si>
    <t>Value proposition design</t>
  </si>
  <si>
    <t>Business model canvas</t>
  </si>
  <si>
    <t>Vi tror att …</t>
  </si>
  <si>
    <t>våra värdeerbjudanden är unika nog att replikera (Att inte replikera? Avses instegströsklar?)</t>
  </si>
  <si>
    <t>vi har rätt kanaler för att nå och rekrytera våra kunder</t>
  </si>
  <si>
    <t>att vi kan kontrollera de här kanalerna för att leverera värde</t>
  </si>
  <si>
    <t>vi kan bygga rätt relationer till kunderna</t>
  </si>
  <si>
    <t>det är svårt för kunderna att byta till en konkurrents produkt</t>
  </si>
  <si>
    <t>vi kan behålla kunderna</t>
  </si>
  <si>
    <t>vi riktar oss till rätt kundsegment</t>
  </si>
  <si>
    <t>att kundsegmenten vi riktar oss till verkligen existerar</t>
  </si>
  <si>
    <t>att kundsegmenten vi riktar oss tlil är stora nog</t>
  </si>
  <si>
    <t>vi har rätt värdeerbjudanden för kundsegmenten vi riktar oss till</t>
  </si>
  <si>
    <t>kan utföra alla aktiviteter i den omfattning och med den kvalitet som krävs för att realisera vår affärsmodell</t>
  </si>
  <si>
    <t>kan säkra och hantera den teknik och de resurser som krävs för att realisera vår affärsmodell, inklusive immateriella rättigheter, personal samt finansiella och andra resurser</t>
  </si>
  <si>
    <t>kan etablera de samarbeten som krävs för att realisera vår affärsmodell</t>
  </si>
  <si>
    <t>kan få kunder att betala ett specifikt pris för våra värdeerbjudanden</t>
  </si>
  <si>
    <t>kan generera tillräckliga intäkter</t>
  </si>
  <si>
    <t>kan hantera kostnaderna förknippade med vår infrastruktur och hålla dem under kontroll</t>
  </si>
  <si>
    <t>kan generera större intäkter än kostnader så att vi går med vinst</t>
  </si>
  <si>
    <t>Namn på test:</t>
  </si>
  <si>
    <t>Deadline:</t>
  </si>
  <si>
    <t>Tilldelad till:</t>
  </si>
  <si>
    <t>Period:</t>
  </si>
  <si>
    <t>För att verifiera det, kommer vi …</t>
  </si>
  <si>
    <t>… och mäta …</t>
  </si>
  <si>
    <t>Vi har rätt om …</t>
  </si>
  <si>
    <t>Grunduppgifter</t>
  </si>
  <si>
    <t>Detaljer</t>
  </si>
  <si>
    <t>Låg betydelse</t>
  </si>
  <si>
    <t>Mellanstor betydelse</t>
  </si>
  <si>
    <t>Hög betydelse</t>
  </si>
  <si>
    <t>Kostnad</t>
  </si>
  <si>
    <t>Låg kostnad</t>
  </si>
  <si>
    <t>Mellanstor kostnad</t>
  </si>
  <si>
    <t>Hög kostnad</t>
  </si>
  <si>
    <t>Tillförlitlighet</t>
  </si>
  <si>
    <t>Låg tillförlitlighet</t>
  </si>
  <si>
    <t>Mellanstor tillförlitlighet</t>
  </si>
  <si>
    <t>Hög tillförlitlighet</t>
  </si>
  <si>
    <t>Tidsbehov</t>
  </si>
  <si>
    <t>Litet tidsbehov</t>
  </si>
  <si>
    <t>Mellanstort tidsbehov</t>
  </si>
  <si>
    <t>Stort tidsbehov</t>
  </si>
  <si>
    <t>Värdering (där tillämpbart)</t>
  </si>
  <si>
    <t>Betydelse:</t>
  </si>
  <si>
    <t>Kostnad:</t>
  </si>
  <si>
    <t>Tillförlitlighet:</t>
  </si>
  <si>
    <t>Tidsbehov:</t>
  </si>
  <si>
    <t>Datum för insikt:</t>
  </si>
  <si>
    <t>Ansvarig:</t>
  </si>
  <si>
    <t>Vi trodde att …</t>
  </si>
  <si>
    <t>Behov av åtgärd:</t>
  </si>
  <si>
    <t>Behov av åtgärd</t>
  </si>
  <si>
    <t>Litet behov</t>
  </si>
  <si>
    <t>Mellanstort behov</t>
  </si>
  <si>
    <t>Stort behov</t>
  </si>
  <si>
    <t>Vi observerade att …</t>
  </si>
  <si>
    <t>Av det drog vi slutsatsen att …</t>
  </si>
  <si>
    <t>Därför kommer vi …</t>
  </si>
  <si>
    <t>Testkort</t>
  </si>
  <si>
    <t>Insiktskort</t>
  </si>
  <si>
    <t>Introduktion</t>
  </si>
  <si>
    <t xml:space="preserve">Den här mallen för kartläggning av antaganden och de insikter som kommer av att man testar antagandena är baserad på material från boken </t>
  </si>
  <si>
    <t>Testing Business Ideas av David J. Bland och Alex Osterwalder.</t>
  </si>
  <si>
    <t>Användandet av mallen underlättas om man är införstådd med deras arbete, men det går också att dra sina egna slutsatser och själv komma fram till ett lämligt arbetssätt.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</si>
</sst>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theme="9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/>
      </top>
      <bottom/>
      <diagonal/>
    </border>
    <border>
      <left/>
      <right style="medium">
        <color indexed="64"/>
      </right>
      <top style="thin">
        <color theme="9"/>
      </top>
      <bottom/>
      <diagonal/>
    </border>
    <border>
      <left style="medium">
        <color indexed="64"/>
      </left>
      <right/>
      <top style="thin">
        <color theme="9"/>
      </top>
      <bottom/>
      <diagonal/>
    </border>
    <border>
      <left style="medium">
        <color indexed="64"/>
      </left>
      <right/>
      <top style="thin">
        <color theme="9"/>
      </top>
      <bottom style="medium">
        <color indexed="64"/>
      </bottom>
      <diagonal/>
    </border>
    <border>
      <left/>
      <right style="medium">
        <color indexed="64"/>
      </right>
      <top style="thin">
        <color theme="9"/>
      </top>
      <bottom style="medium">
        <color indexed="64"/>
      </bottom>
      <diagonal/>
    </border>
    <border>
      <left/>
      <right/>
      <top style="thin">
        <color theme="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/>
      </bottom>
      <diagonal/>
    </border>
    <border>
      <left/>
      <right style="medium">
        <color indexed="64"/>
      </right>
      <top style="medium">
        <color indexed="64"/>
      </top>
      <bottom style="thin">
        <color theme="9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2" borderId="1" xfId="0" applyFont="1" applyFill="1" applyBorder="1"/>
    <xf numFmtId="0" fontId="8" fillId="2" borderId="2" xfId="0" applyFont="1" applyFill="1" applyBorder="1"/>
    <xf numFmtId="0" fontId="0" fillId="3" borderId="5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3" borderId="4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6" fillId="2" borderId="3" xfId="0" applyFont="1" applyFill="1" applyBorder="1"/>
    <xf numFmtId="0" fontId="5" fillId="0" borderId="3" xfId="0" applyFont="1" applyBorder="1"/>
    <xf numFmtId="0" fontId="8" fillId="4" borderId="1" xfId="0" applyFont="1" applyFill="1" applyBorder="1"/>
    <xf numFmtId="0" fontId="8" fillId="4" borderId="2" xfId="0" applyFont="1" applyFill="1" applyBorder="1"/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9" fillId="4" borderId="3" xfId="0" applyFont="1" applyFill="1" applyBorder="1"/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Antagandekarta</a:t>
            </a:r>
          </a:p>
        </c:rich>
      </c:tx>
      <c:layout>
        <c:manualLayout>
          <c:xMode val="edge"/>
          <c:yMode val="edge"/>
          <c:x val="9.3950773635813001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Desirability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FB298A-63FA-49EE-9AD4-937D27735564}" type="CELLRANGE">
                      <a:rPr lang="en-US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0F-4B89-90D2-D7856B8A2D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0F-4B89-90D2-D7856B8A2D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0F-4B89-90D2-D7856B8A2D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C4BE72-8DAB-4E55-BD9E-3F015917A592}" type="CELLRANGE">
                      <a:rPr lang="sv-SE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0F-4B89-90D2-D7856B8A2D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0F-4B89-90D2-D7856B8A2D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0F-4B89-90D2-D7856B8A2D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Antagandekarta!$E$6:$E$11</c:f>
              <c:numCache>
                <c:formatCode>General</c:formatCode>
                <c:ptCount val="6"/>
                <c:pt idx="0">
                  <c:v>-7</c:v>
                </c:pt>
                <c:pt idx="1">
                  <c:v>7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-5</c:v>
                </c:pt>
              </c:numCache>
            </c:numRef>
          </c:xVal>
          <c:yVal>
            <c:numRef>
              <c:f>Antagandekarta!$G$6:$G$11</c:f>
              <c:numCache>
                <c:formatCode>General</c:formatCode>
                <c:ptCount val="6"/>
                <c:pt idx="0">
                  <c:v>7</c:v>
                </c:pt>
                <c:pt idx="1">
                  <c:v>#N/A</c:v>
                </c:pt>
                <c:pt idx="2">
                  <c:v>#N/A</c:v>
                </c:pt>
                <c:pt idx="3">
                  <c:v>7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Antagandekarta!$A$6:$A$11</c15:f>
                <c15:dlblRangeCache>
                  <c:ptCount val="6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0F-4B89-90D2-D7856B8A2D85}"/>
            </c:ext>
          </c:extLst>
        </c:ser>
        <c:ser>
          <c:idx val="1"/>
          <c:order val="1"/>
          <c:tx>
            <c:v>Feasibility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0F-4B89-90D2-D7856B8A2D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E7A5A7-BAD2-464B-A5FB-C30E8A551944}" type="CELLRANGE">
                      <a:rPr lang="sv-SE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0F-4B89-90D2-D7856B8A2D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0F-4B89-90D2-D7856B8A2D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0F-4B89-90D2-D7856B8A2D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8A1025-C7C1-4B9A-9E6B-7EA803916B6D}" type="CELLRANGE">
                      <a:rPr lang="sv-SE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0F-4B89-90D2-D7856B8A2D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0F-4B89-90D2-D7856B8A2D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Antagandekarta!$E$6:$E$11</c:f>
              <c:numCache>
                <c:formatCode>General</c:formatCode>
                <c:ptCount val="6"/>
                <c:pt idx="0">
                  <c:v>-7</c:v>
                </c:pt>
                <c:pt idx="1">
                  <c:v>7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-5</c:v>
                </c:pt>
              </c:numCache>
            </c:numRef>
          </c:xVal>
          <c:yVal>
            <c:numRef>
              <c:f>Antagandekarta!$H$6:$H$11</c:f>
              <c:numCache>
                <c:formatCode>General</c:formatCode>
                <c:ptCount val="6"/>
                <c:pt idx="0">
                  <c:v>#N/A</c:v>
                </c:pt>
                <c:pt idx="1">
                  <c:v>-7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Antagandekarta!$A$6:$A$11</c15:f>
                <c15:dlblRangeCache>
                  <c:ptCount val="6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F0F-4B89-90D2-D7856B8A2D85}"/>
            </c:ext>
          </c:extLst>
        </c:ser>
        <c:ser>
          <c:idx val="2"/>
          <c:order val="2"/>
          <c:tx>
            <c:v>Viability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0F-4B89-90D2-D7856B8A2D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0F-4B89-90D2-D7856B8A2D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F0AAD8-4123-4A14-80DB-BAE7AE56BE4B}" type="CELLRANGE">
                      <a:rPr lang="sv-SE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0F-4B89-90D2-D7856B8A2D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0F-4B89-90D2-D7856B8A2D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0F-4B89-90D2-D7856B8A2D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C483B6-449C-48AC-A010-A1C5EFE1C68B}" type="CELLRANGE">
                      <a:rPr lang="sv-SE"/>
                      <a:pPr/>
                      <a:t>[CELLRANGE]</a:t>
                    </a:fld>
                    <a:endParaRPr lang="sv-SE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0F-4B89-90D2-D7856B8A2D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Antagandekarta!$E$6:$E$11</c:f>
              <c:numCache>
                <c:formatCode>General</c:formatCode>
                <c:ptCount val="6"/>
                <c:pt idx="0">
                  <c:v>-7</c:v>
                </c:pt>
                <c:pt idx="1">
                  <c:v>7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-5</c:v>
                </c:pt>
              </c:numCache>
            </c:numRef>
          </c:xVal>
          <c:yVal>
            <c:numRef>
              <c:f>Antagandekarta!$I$6:$I$11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5</c:v>
                </c:pt>
                <c:pt idx="3">
                  <c:v>#N/A</c:v>
                </c:pt>
                <c:pt idx="4">
                  <c:v>#N/A</c:v>
                </c:pt>
                <c:pt idx="5">
                  <c:v>-5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Antagandekarta!$A$6:$A$11</c15:f>
                <c15:dlblRangeCache>
                  <c:ptCount val="6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F0F-4B89-90D2-D7856B8A2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436976"/>
        <c:axId val="1030437456"/>
      </c:scatterChart>
      <c:valAx>
        <c:axId val="1030436976"/>
        <c:scaling>
          <c:orientation val="minMax"/>
          <c:max val="10"/>
          <c:min val="-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Behov av bevis</a:t>
                </a:r>
              </a:p>
            </c:rich>
          </c:tx>
          <c:layout>
            <c:manualLayout>
              <c:xMode val="edge"/>
              <c:yMode val="edge"/>
              <c:x val="0.10599049244718536"/>
              <c:y val="0.58701370662000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30437456"/>
        <c:crosses val="autoZero"/>
        <c:crossBetween val="midCat"/>
      </c:valAx>
      <c:valAx>
        <c:axId val="1030437456"/>
        <c:scaling>
          <c:orientation val="minMax"/>
          <c:max val="10"/>
          <c:min val="-10"/>
        </c:scaling>
        <c:delete val="0"/>
        <c:axPos val="l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Betydelse</a:t>
                </a:r>
              </a:p>
            </c:rich>
          </c:tx>
          <c:layout>
            <c:manualLayout>
              <c:xMode val="edge"/>
              <c:yMode val="edge"/>
              <c:x val="0.55944055944055948"/>
              <c:y val="0.678784631087780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304369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1551309582805643E-2"/>
          <c:y val="0.10689814814814814"/>
          <c:w val="0.76500926894627685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130175</xdr:colOff>
      <xdr:row>3</xdr:row>
      <xdr:rowOff>79375</xdr:rowOff>
    </xdr:from>
    <xdr:to>
      <xdr:col>13</xdr:col>
      <xdr:colOff>415925</xdr:colOff>
      <xdr:row>18</xdr:row>
      <xdr:rowOff>60325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D437CE1-6F97-D6F3-2A48-48F7E6414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2334EA-2811-4563-9417-B2FE29AEC9DB}" name="Antagandekarta" displayName="Antagandekarta" ref="A5:I11" totalsRowShown="0" headerRowDxfId="3">
  <autoFilter ref="A5:I11" xr:uid="{282334EA-2811-4563-9417-B2FE29AEC9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8636882F-5F2C-488E-98E6-F24807336A86}" name="Nr"/>
    <tableColumn id="2" xr3:uid="{B77B0770-4AE2-4346-A2AD-F1DFDFB8AF53}" name="Rubrik"/>
    <tableColumn id="3" xr3:uid="{AD12F570-DDE6-457B-9592-9480E17B737C}" name="Beskrivning"/>
    <tableColumn id="4" xr3:uid="{6DCA92FD-7DDD-490D-9136-27CA7A428C99}" name="Typ av antagande"/>
    <tableColumn id="5" xr3:uid="{3B14E858-7C8D-4B73-932D-70F209AAE546}" name="Behov av bevis"/>
    <tableColumn id="6" xr3:uid="{4B949407-8C22-458C-9E8B-781094959653}" name="Betydelse"/>
    <tableColumn id="7" xr3:uid="{D83E7895-BA8B-433E-96DD-01F7494D1E61}" name="Desirability" dataDxfId="2">
      <calculatedColumnFormula>IF($D6=G$5,$F6,NA())</calculatedColumnFormula>
    </tableColumn>
    <tableColumn id="8" xr3:uid="{E06B81F3-2C66-4B28-9101-C8AD02FD536F}" name="Feasibility" dataDxfId="1">
      <calculatedColumnFormula>IF($D6=H$5,$F6,NA())</calculatedColumnFormula>
    </tableColumn>
    <tableColumn id="9" xr3:uid="{041C2ABE-EEE5-4D77-B6C3-BD59BB4A1AA3}" name="Viability" dataDxfId="0">
      <calculatedColumnFormula>IF($D6=I$5,$F6,NA())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CD4CD-1BD5-416F-A24A-D326D53EDC0A}">
  <dimension ref="A1:A5"/>
  <sheetViews>
    <sheetView showGridLines="0" tabSelected="1" workbookViewId="0">
      <selection activeCell="A4" sqref="A4"/>
    </sheetView>
  </sheetViews>
  <sheetFormatPr defaultRowHeight="14.5" x14ac:dyDescent="0.35"/>
  <sheetData>
    <row r="1" spans="1:1" ht="26" x14ac:dyDescent="0.6">
      <c r="A1" s="2" t="s">
        <v>99</v>
      </c>
    </row>
    <row r="2" spans="1:1" x14ac:dyDescent="0.35">
      <c r="A2" t="s">
        <v>100</v>
      </c>
    </row>
    <row r="3" spans="1:1" x14ac:dyDescent="0.35">
      <c r="A3" t="s">
        <v>101</v>
      </c>
    </row>
    <row r="5" spans="1:1" x14ac:dyDescent="0.35">
      <c r="A5" t="s"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3C7E4-C3C5-448A-8D79-F1B069C58D40}">
  <dimension ref="A1:P18"/>
  <sheetViews>
    <sheetView showGridLines="0" workbookViewId="0">
      <selection activeCell="A4" sqref="A4"/>
    </sheetView>
  </sheetViews>
  <sheetFormatPr defaultRowHeight="14.5" x14ac:dyDescent="0.35"/>
  <cols>
    <col min="9" max="9" width="1.81640625" customWidth="1"/>
    <col min="15" max="15" width="4.1796875" customWidth="1"/>
  </cols>
  <sheetData>
    <row r="1" spans="1:16" ht="26" x14ac:dyDescent="0.6">
      <c r="A1" s="2" t="s">
        <v>11</v>
      </c>
    </row>
    <row r="2" spans="1:16" x14ac:dyDescent="0.35">
      <c r="A2" t="s">
        <v>23</v>
      </c>
    </row>
    <row r="3" spans="1:16" x14ac:dyDescent="0.35">
      <c r="A3" s="6" t="s">
        <v>26</v>
      </c>
    </row>
    <row r="4" spans="1:16" x14ac:dyDescent="0.35">
      <c r="A4" s="6"/>
    </row>
    <row r="5" spans="1:16" x14ac:dyDescent="0.35">
      <c r="A5" s="1" t="s">
        <v>37</v>
      </c>
      <c r="J5" s="1" t="s">
        <v>38</v>
      </c>
    </row>
    <row r="6" spans="1:16" x14ac:dyDescent="0.35">
      <c r="A6" t="s">
        <v>29</v>
      </c>
      <c r="J6" t="s">
        <v>39</v>
      </c>
      <c r="P6" t="s">
        <v>39</v>
      </c>
    </row>
    <row r="7" spans="1:16" x14ac:dyDescent="0.35">
      <c r="A7" t="s">
        <v>31</v>
      </c>
      <c r="J7" t="s">
        <v>46</v>
      </c>
      <c r="P7" t="s">
        <v>41</v>
      </c>
    </row>
    <row r="8" spans="1:16" x14ac:dyDescent="0.35">
      <c r="A8" t="s">
        <v>30</v>
      </c>
      <c r="J8" t="s">
        <v>47</v>
      </c>
      <c r="P8" t="s">
        <v>42</v>
      </c>
    </row>
    <row r="9" spans="1:16" x14ac:dyDescent="0.35">
      <c r="A9" t="s">
        <v>32</v>
      </c>
      <c r="J9" t="s">
        <v>48</v>
      </c>
    </row>
    <row r="11" spans="1:16" x14ac:dyDescent="0.35">
      <c r="A11" t="s">
        <v>33</v>
      </c>
      <c r="J11" t="s">
        <v>39</v>
      </c>
    </row>
    <row r="12" spans="1:16" x14ac:dyDescent="0.35">
      <c r="A12" t="s">
        <v>34</v>
      </c>
      <c r="J12" t="s">
        <v>49</v>
      </c>
    </row>
    <row r="13" spans="1:16" x14ac:dyDescent="0.35">
      <c r="A13" t="s">
        <v>35</v>
      </c>
      <c r="J13" t="s">
        <v>40</v>
      </c>
    </row>
    <row r="14" spans="1:16" x14ac:dyDescent="0.35">
      <c r="A14" t="s">
        <v>36</v>
      </c>
    </row>
    <row r="15" spans="1:16" x14ac:dyDescent="0.35">
      <c r="J15" t="s">
        <v>39</v>
      </c>
    </row>
    <row r="16" spans="1:16" x14ac:dyDescent="0.35">
      <c r="J16" t="s">
        <v>43</v>
      </c>
    </row>
    <row r="17" spans="10:10" x14ac:dyDescent="0.35">
      <c r="J17" t="s">
        <v>44</v>
      </c>
    </row>
    <row r="18" spans="10:10" x14ac:dyDescent="0.35">
      <c r="J18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27ADB-A51D-4F5E-A163-458615A9B391}">
  <dimension ref="A1:A13"/>
  <sheetViews>
    <sheetView showGridLines="0" workbookViewId="0">
      <selection activeCell="A4" sqref="A4"/>
    </sheetView>
  </sheetViews>
  <sheetFormatPr defaultRowHeight="14.5" x14ac:dyDescent="0.35"/>
  <sheetData>
    <row r="1" spans="1:1" ht="26" x14ac:dyDescent="0.6">
      <c r="A1" s="2" t="s">
        <v>12</v>
      </c>
    </row>
    <row r="2" spans="1:1" x14ac:dyDescent="0.35">
      <c r="A2" t="s">
        <v>24</v>
      </c>
    </row>
    <row r="3" spans="1:1" x14ac:dyDescent="0.35">
      <c r="A3" s="6" t="s">
        <v>28</v>
      </c>
    </row>
    <row r="5" spans="1:1" x14ac:dyDescent="0.35">
      <c r="A5" s="1" t="s">
        <v>38</v>
      </c>
    </row>
    <row r="6" spans="1:1" x14ac:dyDescent="0.35">
      <c r="A6" t="s">
        <v>29</v>
      </c>
    </row>
    <row r="7" spans="1:1" x14ac:dyDescent="0.35">
      <c r="A7" t="s">
        <v>50</v>
      </c>
    </row>
    <row r="9" spans="1:1" x14ac:dyDescent="0.35">
      <c r="A9" t="s">
        <v>29</v>
      </c>
    </row>
    <row r="10" spans="1:1" x14ac:dyDescent="0.35">
      <c r="A10" t="s">
        <v>51</v>
      </c>
    </row>
    <row r="12" spans="1:1" x14ac:dyDescent="0.35">
      <c r="A12" t="s">
        <v>29</v>
      </c>
    </row>
    <row r="13" spans="1:1" x14ac:dyDescent="0.35">
      <c r="A13" t="s">
        <v>52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B5A8-EC73-480A-BFAB-C994C86A8580}">
  <dimension ref="A1:A14"/>
  <sheetViews>
    <sheetView showGridLines="0" workbookViewId="0">
      <selection activeCell="A4" sqref="A4"/>
    </sheetView>
  </sheetViews>
  <sheetFormatPr defaultRowHeight="14.5" x14ac:dyDescent="0.35"/>
  <sheetData>
    <row r="1" spans="1:1" ht="26" x14ac:dyDescent="0.6">
      <c r="A1" s="2" t="s">
        <v>13</v>
      </c>
    </row>
    <row r="2" spans="1:1" x14ac:dyDescent="0.35">
      <c r="A2" t="s">
        <v>25</v>
      </c>
    </row>
    <row r="3" spans="1:1" x14ac:dyDescent="0.35">
      <c r="A3" s="6" t="s">
        <v>27</v>
      </c>
    </row>
    <row r="5" spans="1:1" x14ac:dyDescent="0.35">
      <c r="A5" s="1" t="s">
        <v>38</v>
      </c>
    </row>
    <row r="6" spans="1:1" x14ac:dyDescent="0.35">
      <c r="A6" t="s">
        <v>29</v>
      </c>
    </row>
    <row r="7" spans="1:1" x14ac:dyDescent="0.35">
      <c r="A7" t="s">
        <v>53</v>
      </c>
    </row>
    <row r="8" spans="1:1" x14ac:dyDescent="0.35">
      <c r="A8" t="s">
        <v>54</v>
      </c>
    </row>
    <row r="10" spans="1:1" x14ac:dyDescent="0.35">
      <c r="A10" t="s">
        <v>29</v>
      </c>
    </row>
    <row r="11" spans="1:1" x14ac:dyDescent="0.35">
      <c r="A11" t="s">
        <v>55</v>
      </c>
    </row>
    <row r="13" spans="1:1" x14ac:dyDescent="0.35">
      <c r="A13" t="s">
        <v>29</v>
      </c>
    </row>
    <row r="14" spans="1:1" x14ac:dyDescent="0.35">
      <c r="A14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0C2F2-6097-4C80-B7B3-E43E9ACD55AD}">
  <dimension ref="A1:I11"/>
  <sheetViews>
    <sheetView showGridLines="0" workbookViewId="0">
      <selection activeCell="A3" sqref="A3"/>
    </sheetView>
  </sheetViews>
  <sheetFormatPr defaultRowHeight="14.5" x14ac:dyDescent="0.35"/>
  <cols>
    <col min="1" max="1" width="4.81640625" customWidth="1"/>
    <col min="2" max="2" width="20.90625" customWidth="1"/>
    <col min="3" max="3" width="29.08984375" customWidth="1"/>
    <col min="4" max="4" width="15.6328125" bestFit="1" customWidth="1"/>
    <col min="5" max="5" width="13.1796875" bestFit="1" customWidth="1"/>
    <col min="6" max="6" width="8.90625" bestFit="1" customWidth="1"/>
    <col min="7" max="7" width="10.1796875" bestFit="1" customWidth="1"/>
    <col min="8" max="8" width="9.08984375" bestFit="1" customWidth="1"/>
    <col min="9" max="9" width="8.90625" bestFit="1" customWidth="1"/>
  </cols>
  <sheetData>
    <row r="1" spans="1:9" ht="26" x14ac:dyDescent="0.6">
      <c r="A1" s="2" t="s">
        <v>21</v>
      </c>
    </row>
    <row r="2" spans="1:9" x14ac:dyDescent="0.35">
      <c r="A2" s="3" t="s">
        <v>22</v>
      </c>
    </row>
    <row r="3" spans="1:9" x14ac:dyDescent="0.35">
      <c r="A3" s="3"/>
    </row>
    <row r="5" spans="1:9" x14ac:dyDescent="0.35">
      <c r="A5" s="1" t="s">
        <v>0</v>
      </c>
      <c r="B5" s="1" t="s">
        <v>1</v>
      </c>
      <c r="C5" s="1" t="s">
        <v>2</v>
      </c>
      <c r="D5" s="1" t="s">
        <v>20</v>
      </c>
      <c r="E5" s="1" t="s">
        <v>3</v>
      </c>
      <c r="F5" s="1" t="s">
        <v>4</v>
      </c>
      <c r="G5" s="5" t="s">
        <v>11</v>
      </c>
      <c r="H5" s="5" t="s">
        <v>12</v>
      </c>
      <c r="I5" s="5" t="s">
        <v>13</v>
      </c>
    </row>
    <row r="6" spans="1:9" x14ac:dyDescent="0.35">
      <c r="A6">
        <v>1</v>
      </c>
      <c r="B6" t="s">
        <v>5</v>
      </c>
      <c r="C6" t="s">
        <v>8</v>
      </c>
      <c r="D6" t="s">
        <v>11</v>
      </c>
      <c r="E6">
        <v>-7</v>
      </c>
      <c r="F6">
        <v>7</v>
      </c>
      <c r="G6" s="4">
        <f t="shared" ref="G6:I11" si="0">IF($D6=G$5,$F6,NA())</f>
        <v>7</v>
      </c>
      <c r="H6" s="4" t="e">
        <f t="shared" si="0"/>
        <v>#N/A</v>
      </c>
      <c r="I6" s="4" t="e">
        <f t="shared" si="0"/>
        <v>#N/A</v>
      </c>
    </row>
    <row r="7" spans="1:9" x14ac:dyDescent="0.35">
      <c r="A7">
        <f>A6+1</f>
        <v>2</v>
      </c>
      <c r="B7" t="s">
        <v>6</v>
      </c>
      <c r="C7" t="s">
        <v>9</v>
      </c>
      <c r="D7" t="s">
        <v>12</v>
      </c>
      <c r="E7">
        <v>7</v>
      </c>
      <c r="F7">
        <v>-7</v>
      </c>
      <c r="G7" s="4" t="e">
        <f t="shared" si="0"/>
        <v>#N/A</v>
      </c>
      <c r="H7" s="4">
        <f t="shared" si="0"/>
        <v>-7</v>
      </c>
      <c r="I7" s="4" t="e">
        <f t="shared" si="0"/>
        <v>#N/A</v>
      </c>
    </row>
    <row r="8" spans="1:9" x14ac:dyDescent="0.35">
      <c r="A8">
        <f>A7+1</f>
        <v>3</v>
      </c>
      <c r="B8" t="s">
        <v>7</v>
      </c>
      <c r="C8" t="s">
        <v>10</v>
      </c>
      <c r="D8" t="s">
        <v>13</v>
      </c>
      <c r="E8">
        <v>5</v>
      </c>
      <c r="F8">
        <v>5</v>
      </c>
      <c r="G8" s="4" t="e">
        <f t="shared" si="0"/>
        <v>#N/A</v>
      </c>
      <c r="H8" s="4" t="e">
        <f t="shared" si="0"/>
        <v>#N/A</v>
      </c>
      <c r="I8" s="4">
        <f t="shared" si="0"/>
        <v>5</v>
      </c>
    </row>
    <row r="9" spans="1:9" x14ac:dyDescent="0.35">
      <c r="A9">
        <v>4</v>
      </c>
      <c r="B9" t="s">
        <v>14</v>
      </c>
      <c r="C9" t="s">
        <v>15</v>
      </c>
      <c r="D9" t="s">
        <v>11</v>
      </c>
      <c r="E9">
        <v>7</v>
      </c>
      <c r="F9">
        <v>7</v>
      </c>
      <c r="G9" s="4">
        <f t="shared" si="0"/>
        <v>7</v>
      </c>
      <c r="H9" s="4" t="e">
        <f t="shared" si="0"/>
        <v>#N/A</v>
      </c>
      <c r="I9" s="4" t="e">
        <f t="shared" si="0"/>
        <v>#N/A</v>
      </c>
    </row>
    <row r="10" spans="1:9" x14ac:dyDescent="0.35">
      <c r="A10">
        <v>5</v>
      </c>
      <c r="B10" t="s">
        <v>16</v>
      </c>
      <c r="C10" t="s">
        <v>19</v>
      </c>
      <c r="D10" t="s">
        <v>12</v>
      </c>
      <c r="E10">
        <v>3</v>
      </c>
      <c r="F10">
        <v>3</v>
      </c>
      <c r="G10" s="4" t="e">
        <f t="shared" si="0"/>
        <v>#N/A</v>
      </c>
      <c r="H10" s="4">
        <f t="shared" si="0"/>
        <v>3</v>
      </c>
      <c r="I10" s="4" t="e">
        <f t="shared" si="0"/>
        <v>#N/A</v>
      </c>
    </row>
    <row r="11" spans="1:9" x14ac:dyDescent="0.35">
      <c r="A11">
        <v>6</v>
      </c>
      <c r="B11" t="s">
        <v>17</v>
      </c>
      <c r="C11" t="s">
        <v>18</v>
      </c>
      <c r="D11" t="s">
        <v>13</v>
      </c>
      <c r="E11">
        <v>-5</v>
      </c>
      <c r="F11">
        <v>-5</v>
      </c>
      <c r="G11" s="4" t="e">
        <f t="shared" si="0"/>
        <v>#N/A</v>
      </c>
      <c r="H11" s="4" t="e">
        <f t="shared" si="0"/>
        <v>#N/A</v>
      </c>
      <c r="I11" s="4">
        <f t="shared" si="0"/>
        <v>-5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AA4B-5455-4EC8-98C0-B972F63FCF56}">
  <dimension ref="A1:I16"/>
  <sheetViews>
    <sheetView workbookViewId="0">
      <selection activeCell="A3" sqref="A3"/>
    </sheetView>
  </sheetViews>
  <sheetFormatPr defaultRowHeight="14.5" x14ac:dyDescent="0.35"/>
  <cols>
    <col min="1" max="1" width="28.7265625" bestFit="1" customWidth="1"/>
    <col min="2" max="2" width="26.453125" customWidth="1"/>
    <col min="3" max="3" width="12.26953125" bestFit="1" customWidth="1"/>
    <col min="4" max="4" width="24.453125" bestFit="1" customWidth="1"/>
    <col min="5" max="5" width="4.6328125" customWidth="1"/>
    <col min="6" max="6" width="10" customWidth="1"/>
    <col min="7" max="7" width="8.6328125" customWidth="1"/>
    <col min="8" max="8" width="12.453125" customWidth="1"/>
    <col min="9" max="9" width="9.7265625" customWidth="1"/>
  </cols>
  <sheetData>
    <row r="1" spans="1:9" ht="26" x14ac:dyDescent="0.6">
      <c r="A1" s="2" t="s">
        <v>97</v>
      </c>
    </row>
    <row r="2" spans="1:9" ht="15" thickBot="1" x14ac:dyDescent="0.4"/>
    <row r="3" spans="1:9" s="1" customFormat="1" x14ac:dyDescent="0.35">
      <c r="A3" s="7" t="s">
        <v>64</v>
      </c>
      <c r="B3" s="8" t="s">
        <v>65</v>
      </c>
      <c r="C3" s="27" t="s">
        <v>81</v>
      </c>
      <c r="D3" s="28"/>
      <c r="F3" s="17" t="s">
        <v>4</v>
      </c>
      <c r="G3" s="17" t="s">
        <v>69</v>
      </c>
      <c r="H3" s="17" t="s">
        <v>73</v>
      </c>
      <c r="I3" s="17" t="s">
        <v>77</v>
      </c>
    </row>
    <row r="4" spans="1:9" x14ac:dyDescent="0.35">
      <c r="A4" s="9" t="s">
        <v>57</v>
      </c>
      <c r="B4" s="10"/>
      <c r="C4" s="9"/>
      <c r="D4" s="11"/>
      <c r="F4" s="18" t="s">
        <v>66</v>
      </c>
      <c r="G4" s="18" t="s">
        <v>70</v>
      </c>
      <c r="H4" s="18" t="s">
        <v>74</v>
      </c>
      <c r="I4" s="18" t="s">
        <v>78</v>
      </c>
    </row>
    <row r="5" spans="1:9" x14ac:dyDescent="0.35">
      <c r="A5" s="9" t="s">
        <v>58</v>
      </c>
      <c r="B5" s="10"/>
      <c r="C5" s="9"/>
      <c r="D5" s="11"/>
      <c r="F5" s="18" t="s">
        <v>67</v>
      </c>
      <c r="G5" s="18" t="s">
        <v>71</v>
      </c>
      <c r="H5" s="18" t="s">
        <v>75</v>
      </c>
      <c r="I5" s="18" t="s">
        <v>79</v>
      </c>
    </row>
    <row r="6" spans="1:9" x14ac:dyDescent="0.35">
      <c r="A6" s="9" t="s">
        <v>59</v>
      </c>
      <c r="B6" s="10"/>
      <c r="C6" s="9"/>
      <c r="D6" s="11"/>
      <c r="F6" s="18" t="s">
        <v>68</v>
      </c>
      <c r="G6" s="18" t="s">
        <v>72</v>
      </c>
      <c r="H6" s="18" t="s">
        <v>76</v>
      </c>
      <c r="I6" s="18" t="s">
        <v>80</v>
      </c>
    </row>
    <row r="7" spans="1:9" x14ac:dyDescent="0.35">
      <c r="A7" s="9" t="s">
        <v>60</v>
      </c>
      <c r="B7" s="10"/>
      <c r="C7" s="9"/>
      <c r="D7" s="11"/>
    </row>
    <row r="8" spans="1:9" x14ac:dyDescent="0.35">
      <c r="A8" s="9"/>
      <c r="B8" s="12"/>
      <c r="C8" s="9"/>
      <c r="D8" s="11"/>
    </row>
    <row r="9" spans="1:9" ht="29.5" customHeight="1" x14ac:dyDescent="0.35">
      <c r="A9" s="9" t="s">
        <v>39</v>
      </c>
      <c r="B9" s="10"/>
      <c r="C9" s="9" t="s">
        <v>82</v>
      </c>
      <c r="D9" s="13"/>
    </row>
    <row r="10" spans="1:9" x14ac:dyDescent="0.35">
      <c r="A10" s="9"/>
      <c r="B10" s="12"/>
      <c r="C10" s="9"/>
      <c r="D10" s="11"/>
    </row>
    <row r="11" spans="1:9" ht="28" customHeight="1" x14ac:dyDescent="0.35">
      <c r="A11" s="9" t="s">
        <v>61</v>
      </c>
      <c r="B11" s="10"/>
      <c r="C11" s="9" t="s">
        <v>83</v>
      </c>
      <c r="D11" s="13"/>
    </row>
    <row r="12" spans="1:9" ht="30" customHeight="1" x14ac:dyDescent="0.35">
      <c r="A12" s="9"/>
      <c r="B12" s="12"/>
      <c r="C12" s="9" t="s">
        <v>84</v>
      </c>
      <c r="D12" s="13"/>
    </row>
    <row r="13" spans="1:9" x14ac:dyDescent="0.35">
      <c r="A13" s="9"/>
      <c r="B13" s="12"/>
      <c r="C13" s="9"/>
      <c r="D13" s="11"/>
    </row>
    <row r="14" spans="1:9" ht="29.5" customHeight="1" x14ac:dyDescent="0.35">
      <c r="A14" s="9" t="s">
        <v>62</v>
      </c>
      <c r="B14" s="10"/>
      <c r="C14" s="9" t="s">
        <v>85</v>
      </c>
      <c r="D14" s="13"/>
    </row>
    <row r="15" spans="1:9" x14ac:dyDescent="0.35">
      <c r="A15" s="9"/>
      <c r="B15" s="12"/>
      <c r="C15" s="9"/>
      <c r="D15" s="11"/>
    </row>
    <row r="16" spans="1:9" ht="29" customHeight="1" thickBot="1" x14ac:dyDescent="0.4">
      <c r="A16" s="14" t="s">
        <v>63</v>
      </c>
      <c r="B16" s="15"/>
      <c r="C16" s="14"/>
      <c r="D16" s="16"/>
    </row>
  </sheetData>
  <mergeCells count="1">
    <mergeCell ref="C3:D3"/>
  </mergeCells>
  <dataValidations count="4">
    <dataValidation type="list" allowBlank="1" showInputMessage="1" showErrorMessage="1" sqref="D9" xr:uid="{94EF3967-5A23-4455-8CE8-FCA2BBCEE83D}">
      <formula1>Betydelse</formula1>
    </dataValidation>
    <dataValidation type="list" allowBlank="1" showInputMessage="1" showErrorMessage="1" sqref="D11" xr:uid="{DCD2C5F8-8936-4DF0-952F-10773B2BF47F}">
      <formula1>Kostnad</formula1>
    </dataValidation>
    <dataValidation type="list" allowBlank="1" showInputMessage="1" showErrorMessage="1" sqref="D12:D13" xr:uid="{21B61180-4F59-4076-AB26-61070C7129BF}">
      <formula1>Tillförligtlighet</formula1>
    </dataValidation>
    <dataValidation type="list" allowBlank="1" showInputMessage="1" showErrorMessage="1" sqref="D14" xr:uid="{90161E3A-3D2E-4871-B2A1-34A8E81FD99C}">
      <formula1>Tidsbehov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9C730-2525-4C54-9E55-B8EACA732D0C}">
  <dimension ref="A1:G16"/>
  <sheetViews>
    <sheetView workbookViewId="0">
      <selection activeCell="A3" sqref="A3"/>
    </sheetView>
  </sheetViews>
  <sheetFormatPr defaultRowHeight="14.5" x14ac:dyDescent="0.35"/>
  <cols>
    <col min="1" max="1" width="28.7265625" bestFit="1" customWidth="1"/>
    <col min="2" max="2" width="26.453125" customWidth="1"/>
    <col min="3" max="3" width="14.81640625" bestFit="1" customWidth="1"/>
    <col min="4" max="4" width="24.453125" bestFit="1" customWidth="1"/>
    <col min="5" max="5" width="5.54296875" customWidth="1"/>
    <col min="6" max="6" width="12.26953125" customWidth="1"/>
    <col min="7" max="7" width="14.90625" customWidth="1"/>
  </cols>
  <sheetData>
    <row r="1" spans="1:7" ht="26" x14ac:dyDescent="0.6">
      <c r="A1" s="2" t="s">
        <v>98</v>
      </c>
    </row>
    <row r="2" spans="1:7" ht="15" thickBot="1" x14ac:dyDescent="0.4"/>
    <row r="3" spans="1:7" s="1" customFormat="1" x14ac:dyDescent="0.35">
      <c r="A3" s="19" t="s">
        <v>64</v>
      </c>
      <c r="B3" s="20" t="s">
        <v>65</v>
      </c>
      <c r="C3" s="29" t="s">
        <v>81</v>
      </c>
      <c r="D3" s="30"/>
      <c r="F3" s="26" t="s">
        <v>73</v>
      </c>
      <c r="G3" s="26" t="s">
        <v>90</v>
      </c>
    </row>
    <row r="4" spans="1:7" x14ac:dyDescent="0.35">
      <c r="A4" s="21" t="s">
        <v>57</v>
      </c>
      <c r="B4" s="10"/>
      <c r="C4" s="21"/>
      <c r="D4" s="23"/>
      <c r="F4" s="18" t="s">
        <v>74</v>
      </c>
      <c r="G4" s="18" t="s">
        <v>91</v>
      </c>
    </row>
    <row r="5" spans="1:7" x14ac:dyDescent="0.35">
      <c r="A5" s="21" t="s">
        <v>86</v>
      </c>
      <c r="B5" s="10"/>
      <c r="C5" s="21"/>
      <c r="D5" s="23"/>
      <c r="F5" s="18" t="s">
        <v>75</v>
      </c>
      <c r="G5" s="18" t="s">
        <v>92</v>
      </c>
    </row>
    <row r="6" spans="1:7" x14ac:dyDescent="0.35">
      <c r="A6" s="21" t="s">
        <v>87</v>
      </c>
      <c r="B6" s="10"/>
      <c r="C6" s="21"/>
      <c r="D6" s="23"/>
      <c r="F6" s="18" t="s">
        <v>76</v>
      </c>
      <c r="G6" s="18" t="s">
        <v>93</v>
      </c>
    </row>
    <row r="7" spans="1:7" x14ac:dyDescent="0.35">
      <c r="A7" s="21"/>
      <c r="B7" s="25"/>
      <c r="C7" s="21"/>
      <c r="D7" s="23"/>
    </row>
    <row r="8" spans="1:7" x14ac:dyDescent="0.35">
      <c r="A8" s="21"/>
      <c r="B8" s="25"/>
      <c r="C8" s="21"/>
      <c r="D8" s="23"/>
    </row>
    <row r="9" spans="1:7" ht="29.5" customHeight="1" x14ac:dyDescent="0.35">
      <c r="A9" s="21" t="s">
        <v>88</v>
      </c>
      <c r="B9" s="10"/>
      <c r="C9" s="21"/>
      <c r="D9" s="23"/>
    </row>
    <row r="10" spans="1:7" x14ac:dyDescent="0.35">
      <c r="A10" s="21"/>
      <c r="B10" s="25"/>
      <c r="C10" s="21"/>
      <c r="D10" s="23"/>
    </row>
    <row r="11" spans="1:7" ht="28" customHeight="1" x14ac:dyDescent="0.35">
      <c r="A11" s="21" t="s">
        <v>94</v>
      </c>
      <c r="B11" s="10"/>
      <c r="C11" s="21" t="s">
        <v>84</v>
      </c>
      <c r="D11" s="13"/>
    </row>
    <row r="12" spans="1:7" ht="30" customHeight="1" x14ac:dyDescent="0.35">
      <c r="A12" s="21"/>
      <c r="B12" s="25"/>
      <c r="C12" s="21"/>
      <c r="D12" s="23"/>
    </row>
    <row r="13" spans="1:7" x14ac:dyDescent="0.35">
      <c r="A13" s="21"/>
      <c r="B13" s="25"/>
      <c r="C13" s="21"/>
      <c r="D13" s="23"/>
    </row>
    <row r="14" spans="1:7" ht="29.5" customHeight="1" x14ac:dyDescent="0.35">
      <c r="A14" s="21" t="s">
        <v>95</v>
      </c>
      <c r="B14" s="10"/>
      <c r="C14" s="21" t="s">
        <v>89</v>
      </c>
      <c r="D14" s="13"/>
    </row>
    <row r="15" spans="1:7" x14ac:dyDescent="0.35">
      <c r="A15" s="21"/>
      <c r="B15" s="25"/>
      <c r="C15" s="21"/>
      <c r="D15" s="23"/>
    </row>
    <row r="16" spans="1:7" ht="29" customHeight="1" thickBot="1" x14ac:dyDescent="0.4">
      <c r="A16" s="22" t="s">
        <v>96</v>
      </c>
      <c r="B16" s="15"/>
      <c r="C16" s="22"/>
      <c r="D16" s="24"/>
    </row>
  </sheetData>
  <mergeCells count="1">
    <mergeCell ref="C3:D3"/>
  </mergeCells>
  <dataValidations count="2">
    <dataValidation type="list" allowBlank="1" showInputMessage="1" showErrorMessage="1" sqref="D11 D13" xr:uid="{03843514-A47F-4978-BB6B-270FD32AEB25}">
      <formula1>Tillförligtlighet</formula1>
    </dataValidation>
    <dataValidation type="list" allowBlank="1" showInputMessage="1" showErrorMessage="1" sqref="D14" xr:uid="{E7F0624A-2859-4CEE-B34A-D0EF17B6926F}">
      <formula1>Handlingsbehov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7</vt:i4>
      </vt:variant>
    </vt:vector>
  </HeadingPairs>
  <TitlesOfParts>
    <vt:vector size="14" baseType="lpstr">
      <vt:lpstr>Introduktion</vt:lpstr>
      <vt:lpstr>Desirability</vt:lpstr>
      <vt:lpstr>Feasibility</vt:lpstr>
      <vt:lpstr>Viability</vt:lpstr>
      <vt:lpstr>Antagandekarta</vt:lpstr>
      <vt:lpstr>Testkort</vt:lpstr>
      <vt:lpstr>Insiktskort</vt:lpstr>
      <vt:lpstr>Betydelse</vt:lpstr>
      <vt:lpstr>Handlingsbehov</vt:lpstr>
      <vt:lpstr>Kostnad</vt:lpstr>
      <vt:lpstr>Insiktskort!Tidsbehov</vt:lpstr>
      <vt:lpstr>Tidsbehov</vt:lpstr>
      <vt:lpstr>Insiktskort!Tillförligtlighet</vt:lpstr>
      <vt:lpstr>Tillförligtlighet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Joakim Hasselblad</dc:creator>
  <cp:lastModifiedBy>Joakim Hasselblad</cp:lastModifiedBy>
  <dcterms:created xsi:type="dcterms:W3CDTF">2023-05-15T17:43:38Z</dcterms:created>
  <dcterms:modified xsi:type="dcterms:W3CDTF">2024-04-10T17:58:03Z</dcterms:modified>
</cp:coreProperties>
</file>