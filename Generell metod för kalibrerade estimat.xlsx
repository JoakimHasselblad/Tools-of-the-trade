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ab159-my.sharepoint.com/personal/joakim_hasselblad_pm3_se1/Documents/WIP/Metodutveckling/"/>
    </mc:Choice>
  </mc:AlternateContent>
  <xr:revisionPtr revIDLastSave="232" documentId="8_{D81EEEAD-14B3-4E3B-811A-64576DA8023E}" xr6:coauthVersionLast="47" xr6:coauthVersionMax="47" xr10:uidLastSave="{50B95AB6-9577-45A7-A14A-DE6531613220}"/>
  <bookViews>
    <workbookView xWindow="-110" yWindow="-110" windowWidth="19420" windowHeight="11620" xr2:uid="{FFF1C899-B689-44C3-9193-A281425FDC9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7" i="1"/>
  <c r="F16" i="1"/>
</calcChain>
</file>

<file path=xl/sharedStrings.xml><?xml version="1.0" encoding="utf-8"?>
<sst xmlns="http://schemas.openxmlformats.org/spreadsheetml/2006/main" count="27" uniqueCount="27">
  <si>
    <t>Exempel:</t>
  </si>
  <si>
    <t>SME_ID</t>
  </si>
  <si>
    <t>Lägsta värde</t>
  </si>
  <si>
    <t>Högsta värde</t>
  </si>
  <si>
    <t>Steg 1: Inhämtning av gränsvärden</t>
  </si>
  <si>
    <t>än det angivna högstavärdet.</t>
  </si>
  <si>
    <t>Steg 2: Beräkna medelvärdet av uppskattningarna</t>
  </si>
  <si>
    <t>Lägsta värde:</t>
  </si>
  <si>
    <t>Högsta värde:</t>
  </si>
  <si>
    <t>innan samtliga avgett sin uppfattning. Detta kan ge upphov till snedvridningar som påverkar kvaliteten i den samlade bedömningen!</t>
  </si>
  <si>
    <t>Det är i så fall viktigt att eventuella revideringar av angivna värden sker på goda och objektiva grunder, och inte som resultat av grupptryck eller andra former av otillbörlig påverkan.</t>
  </si>
  <si>
    <t>att omfatta det faktiska utfallet. Det innebär att det enligt deras uppfattning endast ska finnas 5 procents chans att det faktiska utfallet är lägre än det angivna lägstavärdet respektiv högre</t>
  </si>
  <si>
    <t>Vill man försöka minska avståndet mellan det lägsta och det högsta värdet i det sammanlagda intervallet, ska diskussioner om detta ske först efter att alla har fått göra sina bedömningar.</t>
  </si>
  <si>
    <t>Låt ämnesområdesexperterna - oberoende av varandra - ange högsta och lägsta värde i ett intervall som motsvarar deras uppfattning om ett intervall som har 90 procents chans</t>
  </si>
  <si>
    <t xml:space="preserve">Observera att mdelvärdet av samtliga lägsta- och högstavärden som ämnesområdesexperterna angivit fortfarande bara kommer vara en uppskattning, men det är iaf en uppskattning </t>
  </si>
  <si>
    <t>Medelvärde</t>
  </si>
  <si>
    <t>(För beräkningar som visar detta enligt den metod som beskrivs i boken Noise av Kahneman, Sibony och Sunstein, se nedan.)</t>
  </si>
  <si>
    <t>Exempelberäkningar felreducering</t>
  </si>
  <si>
    <t>Beräkningarna nedan bygger på samma exempel som tidigare, med 113 000 som medelvärde för ämnesområdesexperternas skattningar.</t>
  </si>
  <si>
    <t>och inte ett intervall, är det medelvärdet man bör använda; det ger den största reduceringen av det totala felet.</t>
  </si>
  <si>
    <t>Att anta detta värde som estimat skulle ge den största reduktionen av det totala felet, här beräknat som medelvärdet av avvikelserna i kvadrat.</t>
  </si>
  <si>
    <t>Generell metod för kalibrerade estimat</t>
  </si>
  <si>
    <t xml:space="preserve">Viktigt metodologiskt antagande: Ämnesområdesexperterna ska INTE ges tillfälle att påverka varandra genom att exempelvis dela med sig av eller diskutera sina respektive estimat </t>
  </si>
  <si>
    <t>Avvikelse i kvadrat</t>
  </si>
  <si>
    <t>baserad på en sammanvägning av estimat gjorda av de personer som vi har anledning att tro är bäst skickade att avgöra saken.</t>
  </si>
  <si>
    <t>Medelvärde:</t>
  </si>
  <si>
    <t>I exemplet ovan kan man enkelt få fram medelvärdet med hjälp av funktionen '=MEDEL(B16:C25)'. Det ger medelvärdet 113 000. Vill man använda en exakt siffra för att uppskatta parametern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</si>
</sst>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64" fontId="0" fillId="0" borderId="0" xfId="1" applyNumberFormat="1" applyFont="1"/>
    <xf numFmtId="0" fontId="3" fillId="0" borderId="0" xfId="0" applyFont="1"/>
    <xf numFmtId="164" fontId="1" fillId="0" borderId="0" xfId="1" applyNumberFormat="1" applyFont="1"/>
    <xf numFmtId="164" fontId="1" fillId="0" borderId="1" xfId="1" applyNumberFormat="1" applyFont="1" applyBorder="1"/>
    <xf numFmtId="164" fontId="1" fillId="2" borderId="1" xfId="1" applyNumberFormat="1" applyFont="1" applyFill="1" applyBorder="1"/>
    <xf numFmtId="164" fontId="0" fillId="0" borderId="0" xfId="0" applyNumberFormat="1"/>
    <xf numFmtId="0" fontId="4" fillId="0" borderId="0" xfId="0" applyFont="1"/>
    <xf numFmtId="164" fontId="0" fillId="2" borderId="0" xfId="1" applyNumberFormat="1" applyFont="1" applyFill="1"/>
    <xf numFmtId="0" fontId="0" fillId="3" borderId="0" xfId="0" applyFill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Normal" xfId="0" builtinId="0"/>
    <cellStyle name="Tusental" xfId="1" builtinId="3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699AC-FE70-4787-B08C-73208C1D430E}">
  <dimension ref="A1:L54"/>
  <sheetViews>
    <sheetView tabSelected="1" workbookViewId="0">
      <selection activeCell="A2" sqref="A2"/>
    </sheetView>
  </sheetViews>
  <sheetFormatPr defaultRowHeight="14.5" x14ac:dyDescent="0.35"/>
  <cols>
    <col min="1" max="1" width="13.453125" customWidth="1"/>
    <col min="2" max="2" width="14.7265625" customWidth="1"/>
    <col min="3" max="3" width="14.36328125" customWidth="1"/>
    <col min="4" max="4" width="15" customWidth="1"/>
    <col min="5" max="5" width="17.08984375" bestFit="1" customWidth="1"/>
    <col min="6" max="6" width="14.54296875" bestFit="1" customWidth="1"/>
    <col min="7" max="9" width="16" bestFit="1" customWidth="1"/>
    <col min="10" max="12" width="17.08984375" bestFit="1" customWidth="1"/>
  </cols>
  <sheetData>
    <row r="1" spans="1:6" ht="15.5" x14ac:dyDescent="0.35">
      <c r="A1" s="8" t="s">
        <v>21</v>
      </c>
    </row>
    <row r="3" spans="1:6" x14ac:dyDescent="0.35">
      <c r="A3" s="1" t="s">
        <v>4</v>
      </c>
    </row>
    <row r="4" spans="1:6" x14ac:dyDescent="0.35">
      <c r="A4" t="s">
        <v>13</v>
      </c>
    </row>
    <row r="5" spans="1:6" x14ac:dyDescent="0.35">
      <c r="A5" t="s">
        <v>11</v>
      </c>
    </row>
    <row r="6" spans="1:6" x14ac:dyDescent="0.35">
      <c r="A6" t="s">
        <v>5</v>
      </c>
    </row>
    <row r="8" spans="1:6" s="3" customFormat="1" x14ac:dyDescent="0.35">
      <c r="A8" s="3" t="s">
        <v>22</v>
      </c>
    </row>
    <row r="9" spans="1:6" s="3" customFormat="1" x14ac:dyDescent="0.35">
      <c r="A9" s="3" t="s">
        <v>9</v>
      </c>
    </row>
    <row r="10" spans="1:6" s="3" customFormat="1" x14ac:dyDescent="0.35">
      <c r="A10" s="3" t="s">
        <v>12</v>
      </c>
    </row>
    <row r="11" spans="1:6" s="3" customFormat="1" x14ac:dyDescent="0.35">
      <c r="A11" s="3" t="s">
        <v>10</v>
      </c>
    </row>
    <row r="13" spans="1:6" x14ac:dyDescent="0.35">
      <c r="A13" s="12" t="s">
        <v>0</v>
      </c>
    </row>
    <row r="14" spans="1:6" x14ac:dyDescent="0.35">
      <c r="A14" s="11" t="s">
        <v>1</v>
      </c>
      <c r="B14" s="11" t="s">
        <v>2</v>
      </c>
      <c r="C14" s="11" t="s">
        <v>3</v>
      </c>
    </row>
    <row r="15" spans="1:6" x14ac:dyDescent="0.35">
      <c r="A15">
        <v>1</v>
      </c>
      <c r="B15">
        <v>90000</v>
      </c>
      <c r="C15">
        <v>140000</v>
      </c>
    </row>
    <row r="16" spans="1:6" x14ac:dyDescent="0.35">
      <c r="A16">
        <v>2</v>
      </c>
      <c r="B16">
        <v>50000</v>
      </c>
      <c r="C16">
        <v>100000</v>
      </c>
      <c r="E16" s="10" t="s">
        <v>7</v>
      </c>
      <c r="F16" s="9">
        <f>MIN(B15:C24)</f>
        <v>50000</v>
      </c>
    </row>
    <row r="17" spans="1:6" x14ac:dyDescent="0.35">
      <c r="A17">
        <v>3</v>
      </c>
      <c r="B17">
        <v>70000</v>
      </c>
      <c r="C17">
        <v>160000</v>
      </c>
      <c r="E17" s="10" t="s">
        <v>8</v>
      </c>
      <c r="F17" s="9">
        <f>MAX(B15:C24)</f>
        <v>200000</v>
      </c>
    </row>
    <row r="18" spans="1:6" x14ac:dyDescent="0.35">
      <c r="A18">
        <v>4</v>
      </c>
      <c r="B18">
        <v>60000</v>
      </c>
      <c r="C18">
        <v>150000</v>
      </c>
      <c r="E18" s="10" t="s">
        <v>25</v>
      </c>
      <c r="F18" s="9">
        <f>AVERAGE(B15:C24)</f>
        <v>113000</v>
      </c>
    </row>
    <row r="19" spans="1:6" x14ac:dyDescent="0.35">
      <c r="A19">
        <v>5</v>
      </c>
      <c r="B19">
        <v>100000</v>
      </c>
      <c r="C19">
        <v>160000</v>
      </c>
    </row>
    <row r="20" spans="1:6" x14ac:dyDescent="0.35">
      <c r="A20">
        <v>6</v>
      </c>
      <c r="B20">
        <v>100000</v>
      </c>
      <c r="C20">
        <v>200000</v>
      </c>
    </row>
    <row r="21" spans="1:6" x14ac:dyDescent="0.35">
      <c r="A21">
        <v>7</v>
      </c>
      <c r="B21">
        <v>60000</v>
      </c>
      <c r="C21">
        <v>110000</v>
      </c>
    </row>
    <row r="22" spans="1:6" x14ac:dyDescent="0.35">
      <c r="A22">
        <v>8</v>
      </c>
      <c r="B22">
        <v>60000</v>
      </c>
      <c r="C22">
        <v>160000</v>
      </c>
    </row>
    <row r="23" spans="1:6" x14ac:dyDescent="0.35">
      <c r="A23">
        <v>9</v>
      </c>
      <c r="B23">
        <v>90000</v>
      </c>
      <c r="C23">
        <v>140000</v>
      </c>
    </row>
    <row r="24" spans="1:6" x14ac:dyDescent="0.35">
      <c r="A24">
        <v>10</v>
      </c>
      <c r="B24">
        <v>100000</v>
      </c>
      <c r="C24">
        <v>160000</v>
      </c>
    </row>
    <row r="26" spans="1:6" x14ac:dyDescent="0.35">
      <c r="A26" s="1" t="s">
        <v>6</v>
      </c>
    </row>
    <row r="27" spans="1:6" x14ac:dyDescent="0.35">
      <c r="A27" t="s">
        <v>26</v>
      </c>
    </row>
    <row r="28" spans="1:6" x14ac:dyDescent="0.35">
      <c r="A28" t="s">
        <v>19</v>
      </c>
    </row>
    <row r="29" spans="1:6" x14ac:dyDescent="0.35">
      <c r="A29" t="s">
        <v>16</v>
      </c>
    </row>
    <row r="31" spans="1:6" s="3" customFormat="1" x14ac:dyDescent="0.35">
      <c r="A31" s="3" t="s">
        <v>14</v>
      </c>
    </row>
    <row r="32" spans="1:6" s="3" customFormat="1" x14ac:dyDescent="0.35">
      <c r="A32" s="3" t="s">
        <v>24</v>
      </c>
    </row>
    <row r="34" spans="1:12" x14ac:dyDescent="0.35">
      <c r="A34" s="3" t="s">
        <v>17</v>
      </c>
    </row>
    <row r="35" spans="1:12" x14ac:dyDescent="0.35">
      <c r="A35" t="s">
        <v>18</v>
      </c>
    </row>
    <row r="36" spans="1:12" x14ac:dyDescent="0.35">
      <c r="A36" t="s">
        <v>20</v>
      </c>
    </row>
    <row r="38" spans="1:12" s="1" customFormat="1" x14ac:dyDescent="0.35">
      <c r="B38" s="13" t="s">
        <v>23</v>
      </c>
      <c r="C38" s="14"/>
      <c r="D38" s="14"/>
      <c r="E38" s="14"/>
      <c r="F38" s="14"/>
      <c r="G38" s="14"/>
      <c r="H38" s="14"/>
      <c r="I38" s="14"/>
      <c r="J38" s="14"/>
      <c r="K38" s="14"/>
      <c r="L38" s="15"/>
    </row>
    <row r="39" spans="1:12" s="1" customFormat="1" x14ac:dyDescent="0.35">
      <c r="B39" s="5">
        <v>50000</v>
      </c>
      <c r="C39" s="5">
        <v>60000</v>
      </c>
      <c r="D39" s="5">
        <v>70000</v>
      </c>
      <c r="E39" s="5">
        <v>90000</v>
      </c>
      <c r="F39" s="5">
        <v>100000</v>
      </c>
      <c r="G39" s="5">
        <v>110000</v>
      </c>
      <c r="H39" s="6">
        <v>113000</v>
      </c>
      <c r="I39" s="5">
        <v>140000</v>
      </c>
      <c r="J39" s="5">
        <v>150000</v>
      </c>
      <c r="K39" s="5">
        <v>160000</v>
      </c>
      <c r="L39" s="5">
        <v>200000</v>
      </c>
    </row>
    <row r="40" spans="1:12" x14ac:dyDescent="0.35">
      <c r="A40" s="5">
        <v>50000</v>
      </c>
      <c r="B40" s="2">
        <v>0</v>
      </c>
      <c r="C40" s="2">
        <v>100000000</v>
      </c>
      <c r="D40" s="2">
        <v>400000000</v>
      </c>
      <c r="E40" s="2">
        <v>1600000000</v>
      </c>
      <c r="F40" s="2">
        <v>2500000000</v>
      </c>
      <c r="G40" s="2">
        <v>3600000000</v>
      </c>
      <c r="H40" s="2">
        <v>3969000000</v>
      </c>
      <c r="I40" s="2">
        <v>8100000000</v>
      </c>
      <c r="J40" s="2">
        <v>10000000000</v>
      </c>
      <c r="K40" s="2">
        <v>12100000000</v>
      </c>
      <c r="L40" s="2">
        <v>22500000000</v>
      </c>
    </row>
    <row r="41" spans="1:12" x14ac:dyDescent="0.35">
      <c r="A41" s="5">
        <v>60000</v>
      </c>
      <c r="B41" s="2">
        <v>100000000</v>
      </c>
      <c r="C41" s="2">
        <v>0</v>
      </c>
      <c r="D41" s="2">
        <v>100000000</v>
      </c>
      <c r="E41" s="2">
        <v>900000000</v>
      </c>
      <c r="F41" s="2">
        <v>1600000000</v>
      </c>
      <c r="G41" s="2">
        <v>2500000000</v>
      </c>
      <c r="H41" s="2">
        <v>2809000000</v>
      </c>
      <c r="I41" s="2">
        <v>6400000000</v>
      </c>
      <c r="J41" s="2">
        <v>8100000000</v>
      </c>
      <c r="K41" s="2">
        <v>10000000000</v>
      </c>
      <c r="L41" s="2">
        <v>19600000000</v>
      </c>
    </row>
    <row r="42" spans="1:12" x14ac:dyDescent="0.35">
      <c r="A42" s="5">
        <v>70000</v>
      </c>
      <c r="B42" s="2">
        <v>400000000</v>
      </c>
      <c r="C42" s="2">
        <v>100000000</v>
      </c>
      <c r="D42" s="2">
        <v>0</v>
      </c>
      <c r="E42" s="2">
        <v>400000000</v>
      </c>
      <c r="F42" s="2">
        <v>900000000</v>
      </c>
      <c r="G42" s="2">
        <v>1600000000</v>
      </c>
      <c r="H42" s="2">
        <v>1849000000</v>
      </c>
      <c r="I42" s="2">
        <v>4900000000</v>
      </c>
      <c r="J42" s="2">
        <v>6400000000</v>
      </c>
      <c r="K42" s="2">
        <v>8100000000</v>
      </c>
      <c r="L42" s="2">
        <v>16900000000</v>
      </c>
    </row>
    <row r="43" spans="1:12" x14ac:dyDescent="0.35">
      <c r="A43" s="5">
        <v>90000</v>
      </c>
      <c r="B43" s="2">
        <v>1600000000</v>
      </c>
      <c r="C43" s="2">
        <v>900000000</v>
      </c>
      <c r="D43" s="2">
        <v>400000000</v>
      </c>
      <c r="E43" s="2">
        <v>0</v>
      </c>
      <c r="F43" s="2">
        <v>100000000</v>
      </c>
      <c r="G43" s="2">
        <v>400000000</v>
      </c>
      <c r="H43" s="2">
        <v>529000000</v>
      </c>
      <c r="I43" s="2">
        <v>2500000000</v>
      </c>
      <c r="J43" s="2">
        <v>3600000000</v>
      </c>
      <c r="K43" s="2">
        <v>4900000000</v>
      </c>
      <c r="L43" s="2">
        <v>12100000000</v>
      </c>
    </row>
    <row r="44" spans="1:12" x14ac:dyDescent="0.35">
      <c r="A44" s="5">
        <v>100000</v>
      </c>
      <c r="B44" s="2">
        <v>2500000000</v>
      </c>
      <c r="C44" s="2">
        <v>1600000000</v>
      </c>
      <c r="D44" s="2">
        <v>900000000</v>
      </c>
      <c r="E44" s="2">
        <v>100000000</v>
      </c>
      <c r="F44" s="2">
        <v>0</v>
      </c>
      <c r="G44" s="2">
        <v>100000000</v>
      </c>
      <c r="H44" s="2">
        <v>169000000</v>
      </c>
      <c r="I44" s="2">
        <v>1600000000</v>
      </c>
      <c r="J44" s="2">
        <v>2500000000</v>
      </c>
      <c r="K44" s="2">
        <v>3600000000</v>
      </c>
      <c r="L44" s="2">
        <v>10000000000</v>
      </c>
    </row>
    <row r="45" spans="1:12" x14ac:dyDescent="0.35">
      <c r="A45" s="5">
        <v>110000</v>
      </c>
      <c r="B45" s="2">
        <v>3600000000</v>
      </c>
      <c r="C45" s="2">
        <v>2500000000</v>
      </c>
      <c r="D45" s="2">
        <v>1600000000</v>
      </c>
      <c r="E45" s="2">
        <v>400000000</v>
      </c>
      <c r="F45" s="2">
        <v>100000000</v>
      </c>
      <c r="G45" s="2">
        <v>0</v>
      </c>
      <c r="H45" s="2">
        <v>9000000</v>
      </c>
      <c r="I45" s="2">
        <v>900000000</v>
      </c>
      <c r="J45" s="2">
        <v>1600000000</v>
      </c>
      <c r="K45" s="2">
        <v>2500000000</v>
      </c>
      <c r="L45" s="2">
        <v>8100000000</v>
      </c>
    </row>
    <row r="46" spans="1:12" x14ac:dyDescent="0.35">
      <c r="A46" s="6">
        <v>113000</v>
      </c>
      <c r="B46" s="2">
        <v>3969000000</v>
      </c>
      <c r="C46" s="2">
        <v>2809000000</v>
      </c>
      <c r="D46" s="2">
        <v>1849000000</v>
      </c>
      <c r="E46" s="2">
        <v>529000000</v>
      </c>
      <c r="F46" s="2">
        <v>169000000</v>
      </c>
      <c r="G46" s="2">
        <v>9000000</v>
      </c>
      <c r="H46" s="2">
        <v>0</v>
      </c>
      <c r="I46" s="2">
        <v>729000000</v>
      </c>
      <c r="J46" s="2">
        <v>1369000000</v>
      </c>
      <c r="K46" s="2">
        <v>2209000000</v>
      </c>
      <c r="L46" s="2">
        <v>7569000000</v>
      </c>
    </row>
    <row r="47" spans="1:12" x14ac:dyDescent="0.35">
      <c r="A47" s="5">
        <v>140000</v>
      </c>
      <c r="B47" s="2">
        <v>8100000000</v>
      </c>
      <c r="C47" s="2">
        <v>6400000000</v>
      </c>
      <c r="D47" s="2">
        <v>4900000000</v>
      </c>
      <c r="E47" s="2">
        <v>2500000000</v>
      </c>
      <c r="F47" s="2">
        <v>1600000000</v>
      </c>
      <c r="G47" s="2">
        <v>900000000</v>
      </c>
      <c r="H47" s="2">
        <v>729000000</v>
      </c>
      <c r="I47" s="2">
        <v>0</v>
      </c>
      <c r="J47" s="2">
        <v>100000000</v>
      </c>
      <c r="K47" s="2">
        <v>400000000</v>
      </c>
      <c r="L47" s="2">
        <v>3600000000</v>
      </c>
    </row>
    <row r="48" spans="1:12" x14ac:dyDescent="0.35">
      <c r="A48" s="5">
        <v>150000</v>
      </c>
      <c r="B48" s="2">
        <v>10000000000</v>
      </c>
      <c r="C48" s="2">
        <v>8100000000</v>
      </c>
      <c r="D48" s="2">
        <v>6400000000</v>
      </c>
      <c r="E48" s="2">
        <v>3600000000</v>
      </c>
      <c r="F48" s="2">
        <v>2500000000</v>
      </c>
      <c r="G48" s="2">
        <v>1600000000</v>
      </c>
      <c r="H48" s="2">
        <v>1369000000</v>
      </c>
      <c r="I48" s="2">
        <v>100000000</v>
      </c>
      <c r="J48" s="2">
        <v>0</v>
      </c>
      <c r="K48" s="2">
        <v>100000000</v>
      </c>
      <c r="L48" s="2">
        <v>2500000000</v>
      </c>
    </row>
    <row r="49" spans="1:12" x14ac:dyDescent="0.35">
      <c r="A49" s="5">
        <v>160000</v>
      </c>
      <c r="B49" s="2">
        <v>12100000000</v>
      </c>
      <c r="C49" s="2">
        <v>10000000000</v>
      </c>
      <c r="D49" s="2">
        <v>8100000000</v>
      </c>
      <c r="E49" s="2">
        <v>4900000000</v>
      </c>
      <c r="F49" s="2">
        <v>3600000000</v>
      </c>
      <c r="G49" s="2">
        <v>2500000000</v>
      </c>
      <c r="H49" s="2">
        <v>2209000000</v>
      </c>
      <c r="I49" s="2">
        <v>400000000</v>
      </c>
      <c r="J49" s="2">
        <v>100000000</v>
      </c>
      <c r="K49" s="2">
        <v>0</v>
      </c>
      <c r="L49" s="2">
        <v>1600000000</v>
      </c>
    </row>
    <row r="50" spans="1:12" x14ac:dyDescent="0.35">
      <c r="A50" s="5">
        <v>200000</v>
      </c>
      <c r="B50" s="2">
        <v>22500000000</v>
      </c>
      <c r="C50" s="2">
        <v>19600000000</v>
      </c>
      <c r="D50" s="2">
        <v>16900000000</v>
      </c>
      <c r="E50" s="2">
        <v>12100000000</v>
      </c>
      <c r="F50" s="2">
        <v>10000000000</v>
      </c>
      <c r="G50" s="2">
        <v>8100000000</v>
      </c>
      <c r="H50" s="2">
        <v>7569000000</v>
      </c>
      <c r="I50" s="2">
        <v>3600000000</v>
      </c>
      <c r="J50" s="2">
        <v>2500000000</v>
      </c>
      <c r="K50" s="2">
        <v>1600000000</v>
      </c>
      <c r="L50" s="2">
        <v>0</v>
      </c>
    </row>
    <row r="51" spans="1:12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s="1" customFormat="1" x14ac:dyDescent="0.35">
      <c r="A52" s="4" t="s">
        <v>15</v>
      </c>
      <c r="B52" s="4">
        <v>5897181818.181818</v>
      </c>
      <c r="C52" s="4">
        <v>4737181818.181818</v>
      </c>
      <c r="D52" s="4">
        <v>3777181818.181818</v>
      </c>
      <c r="E52" s="4">
        <v>2457181818.181818</v>
      </c>
      <c r="F52" s="4">
        <v>2097181818.1818182</v>
      </c>
      <c r="G52" s="4">
        <v>1937181818.1818182</v>
      </c>
      <c r="H52" s="4">
        <v>1928181818.1818182</v>
      </c>
      <c r="I52" s="4">
        <v>2657181818.181818</v>
      </c>
      <c r="J52" s="4">
        <v>3297181818.181818</v>
      </c>
      <c r="K52" s="4">
        <v>4137181818.181818</v>
      </c>
      <c r="L52" s="4">
        <v>9497181818.181818</v>
      </c>
    </row>
    <row r="54" spans="1:12" x14ac:dyDescent="0.35">
      <c r="A54" s="7"/>
    </row>
  </sheetData>
  <mergeCells count="1">
    <mergeCell ref="B38:L38"/>
  </mergeCells>
  <conditionalFormatting sqref="B52:L52">
    <cfRule type="top10" dxfId="0" priority="1" bottom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Joakim Hasselblad</dc:creator>
  <cp:lastModifiedBy>Joakim Hasselblad</cp:lastModifiedBy>
  <dcterms:created xsi:type="dcterms:W3CDTF">2023-08-07T08:07:53Z</dcterms:created>
  <dcterms:modified xsi:type="dcterms:W3CDTF">2024-12-09T09:20:30Z</dcterms:modified>
</cp:coreProperties>
</file>