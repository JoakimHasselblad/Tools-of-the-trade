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paab159-my.sharepoint.com/personal/joakim_hasselblad_pm3_se1/Documents/Documents/TOMO/"/>
    </mc:Choice>
  </mc:AlternateContent>
  <xr:revisionPtr revIDLastSave="0" documentId="8_{08F8943A-E2C6-4F38-8C54-8964ADECCD2E}" xr6:coauthVersionLast="47" xr6:coauthVersionMax="47" xr10:uidLastSave="{00000000-0000-0000-0000-000000000000}"/>
  <bookViews>
    <workbookView xWindow="-110" yWindow="-110" windowWidth="19420" windowHeight="11620" xr2:uid="{DAB42BC4-207F-4780-81B7-9DD6D5CEEA9F}"/>
  </bookViews>
  <sheets>
    <sheet name="Blad1" sheetId="1" r:id="rId1"/>
    <sheet name="Data" sheetId="2" state="hidden" r:id="rId2"/>
  </sheets>
  <definedNames>
    <definedName name="Lista_värden">Data!$A$2:$A$8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8" i="1"/>
  <c r="D7" i="1"/>
  <c r="D6" i="1"/>
  <c r="D5" i="1"/>
  <c r="D4" i="1"/>
  <c r="D10" i="1" l="1"/>
</calcChain>
</file>

<file path=xl/sharedStrings.xml><?xml version="1.0" encoding="utf-8"?>
<sst xmlns="http://schemas.openxmlformats.org/spreadsheetml/2006/main" count="13" uniqueCount="13">
  <si>
    <t>Viktat värde</t>
  </si>
  <si>
    <t>Lista värden</t>
  </si>
  <si>
    <t>Total Motivation-faktor</t>
  </si>
  <si>
    <t>Svar</t>
  </si>
  <si>
    <t>… därför att jag tycker att arbetet är meningsfullt</t>
  </si>
  <si>
    <t>… därför att det kommer hjälpa mig att nå mina personliga mål</t>
  </si>
  <si>
    <t>… för annars skulle jag göra mig själv eller andra besvikna</t>
  </si>
  <si>
    <t>… för annars skulle jag ha svårt att klara mig ekonomiskt</t>
  </si>
  <si>
    <t>Det finns ingen riktig anledning varför jag är kvar på mitt nuvarande jobb</t>
  </si>
  <si>
    <t>Beräkna din Total Motivation (TOMO)-faktor</t>
  </si>
  <si>
    <t>… därför att arbetet i sig är kul</t>
  </si>
  <si>
    <t>Påstående: "Jag fortsätter arbeta på min nuvarande arbetsplats …"</t>
  </si>
  <si>
    <t>Idéer om nödvändiga åtgärder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</si>
</sst>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quotePrefix="1"/>
    <xf numFmtId="0" fontId="2" fillId="0" borderId="0" xfId="0" applyFont="1"/>
    <xf numFmtId="1" fontId="0" fillId="0" borderId="0" xfId="0" applyNumberFormat="1"/>
    <xf numFmtId="1" fontId="1" fillId="0" borderId="0" xfId="0" applyNumberFormat="1" applyFont="1"/>
    <xf numFmtId="1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603250</xdr:colOff>
      <xdr:row>0</xdr:row>
      <xdr:rowOff>120650</xdr:rowOff>
    </xdr:from>
    <xdr:to>
      <xdr:col>9</xdr:col>
      <xdr:colOff>203200</xdr:colOff>
      <xdr:row>13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CF6E1C9E-70DA-7C1D-965C-70A35108AB86}"/>
            </a:ext>
          </a:extLst>
        </xdr:cNvPr>
        <xdr:cNvSpPr txBox="1"/>
      </xdr:nvSpPr>
      <xdr:spPr>
        <a:xfrm>
          <a:off x="5930900" y="120650"/>
          <a:ext cx="2647950" cy="2444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Ange hur mycket du håller med om</a:t>
          </a:r>
          <a:r>
            <a:rPr lang="sv-SE" sz="1100" baseline="0"/>
            <a:t> </a:t>
          </a:r>
          <a:r>
            <a:rPr lang="sv-SE" sz="1100"/>
            <a:t>påståendena till vänster</a:t>
          </a:r>
          <a:r>
            <a:rPr lang="sv-SE" sz="1100" baseline="0"/>
            <a:t> på en skala mellan 1 och 7.</a:t>
          </a:r>
        </a:p>
        <a:p>
          <a:endParaRPr lang="sv-SE" sz="1100"/>
        </a:p>
        <a:p>
          <a:r>
            <a:rPr lang="sv-SE" sz="1100"/>
            <a:t>1=Håller inte alls med</a:t>
          </a:r>
        </a:p>
        <a:p>
          <a:r>
            <a:rPr lang="sv-SE" sz="1100"/>
            <a:t>7=Håller helt med</a:t>
          </a:r>
        </a:p>
        <a:p>
          <a:endParaRPr lang="sv-SE" sz="1100"/>
        </a:p>
        <a:p>
          <a:r>
            <a:rPr lang="sv-SE" sz="1100"/>
            <a:t>Total</a:t>
          </a:r>
          <a:r>
            <a:rPr lang="sv-SE" sz="1100" baseline="0"/>
            <a:t>summan för de viktade värdena ger TOMO-faktorn, ett tal mellan -100 och 100.</a:t>
          </a:r>
        </a:p>
        <a:p>
          <a:endParaRPr lang="sv-SE" sz="1100"/>
        </a:p>
        <a:p>
          <a:r>
            <a:rPr lang="sv-SE" sz="1100"/>
            <a:t>Teorin bakom</a:t>
          </a:r>
          <a:r>
            <a:rPr lang="sv-SE" sz="1100" baseline="0"/>
            <a:t> kalkylatorn presenteras i boken </a:t>
          </a:r>
          <a:r>
            <a:rPr lang="sv-SE" sz="1100" i="1" baseline="0"/>
            <a:t>Primed to Perform </a:t>
          </a:r>
          <a:r>
            <a:rPr lang="sv-SE" sz="1100" baseline="0"/>
            <a:t>av Neel Doshi och Lindsay McGregor.</a:t>
          </a:r>
          <a:endParaRPr lang="sv-SE" sz="1100"/>
        </a:p>
      </xdr:txBody>
    </xdr:sp>
    <xdr:clientData/>
  </xdr:twoCellAnchor>
  <xdr:twoCellAnchor>
    <xdr:from>
      <xdr:col>0</xdr:col>
      <xdr:colOff>31750</xdr:colOff>
      <xdr:row>12</xdr:row>
      <xdr:rowOff>6350</xdr:rowOff>
    </xdr:from>
    <xdr:to>
      <xdr:col>3</xdr:col>
      <xdr:colOff>635000</xdr:colOff>
      <xdr:row>21</xdr:row>
      <xdr:rowOff>165100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F76B787B-9333-48C2-9C8A-223DA31DE38D}"/>
            </a:ext>
          </a:extLst>
        </xdr:cNvPr>
        <xdr:cNvSpPr txBox="1"/>
      </xdr:nvSpPr>
      <xdr:spPr>
        <a:xfrm>
          <a:off x="31750" y="2552700"/>
          <a:ext cx="5207000" cy="1816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Givet ovanstående,</a:t>
          </a:r>
          <a:r>
            <a:rPr lang="sv-SE" sz="1100" baseline="0"/>
            <a:t> tänker jag ...</a:t>
          </a:r>
        </a:p>
        <a:p>
          <a:endParaRPr lang="sv-S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D2C45-71F4-4280-8DC2-E9CD174FBA6D}">
  <dimension ref="B1:D12"/>
  <sheetViews>
    <sheetView showGridLines="0" tabSelected="1" workbookViewId="0">
      <selection activeCell="C4" sqref="C4"/>
    </sheetView>
  </sheetViews>
  <sheetFormatPr defaultRowHeight="14.5" x14ac:dyDescent="0.35"/>
  <cols>
    <col min="1" max="1" width="1.36328125" customWidth="1"/>
    <col min="2" max="2" width="59" bestFit="1" customWidth="1"/>
    <col min="3" max="3" width="5.54296875" bestFit="1" customWidth="1"/>
    <col min="4" max="4" width="10.36328125" bestFit="1" customWidth="1"/>
  </cols>
  <sheetData>
    <row r="1" spans="2:4" ht="26" x14ac:dyDescent="0.6">
      <c r="B1" s="4" t="s">
        <v>9</v>
      </c>
    </row>
    <row r="3" spans="2:4" s="1" customFormat="1" x14ac:dyDescent="0.35">
      <c r="B3" s="1" t="s">
        <v>11</v>
      </c>
      <c r="C3" s="1" t="s">
        <v>3</v>
      </c>
      <c r="D3" s="1" t="s">
        <v>0</v>
      </c>
    </row>
    <row r="4" spans="2:4" x14ac:dyDescent="0.35">
      <c r="B4" s="3" t="s">
        <v>10</v>
      </c>
      <c r="D4" s="5">
        <f>C4*10</f>
        <v>0</v>
      </c>
    </row>
    <row r="5" spans="2:4" x14ac:dyDescent="0.35">
      <c r="B5" s="3" t="s">
        <v>4</v>
      </c>
      <c r="D5" s="5">
        <f>C5*5</f>
        <v>0</v>
      </c>
    </row>
    <row r="6" spans="2:4" x14ac:dyDescent="0.35">
      <c r="B6" s="3" t="s">
        <v>5</v>
      </c>
      <c r="D6" s="5">
        <f>C6*1.6667</f>
        <v>0</v>
      </c>
    </row>
    <row r="7" spans="2:4" x14ac:dyDescent="0.35">
      <c r="B7" s="3" t="s">
        <v>6</v>
      </c>
      <c r="D7" s="5">
        <f>C7*(-1.6667)</f>
        <v>0</v>
      </c>
    </row>
    <row r="8" spans="2:4" x14ac:dyDescent="0.35">
      <c r="B8" s="3" t="s">
        <v>7</v>
      </c>
      <c r="D8" s="5">
        <f>C8*(-5)</f>
        <v>0</v>
      </c>
    </row>
    <row r="9" spans="2:4" ht="15" thickBot="1" x14ac:dyDescent="0.4">
      <c r="B9" s="2" t="s">
        <v>8</v>
      </c>
      <c r="C9" s="2"/>
      <c r="D9" s="7">
        <f>C9*(-10)</f>
        <v>0</v>
      </c>
    </row>
    <row r="10" spans="2:4" s="1" customFormat="1" x14ac:dyDescent="0.35">
      <c r="B10" s="1" t="s">
        <v>2</v>
      </c>
      <c r="D10" s="6">
        <f>SUM(D4:D9)</f>
        <v>0</v>
      </c>
    </row>
    <row r="12" spans="2:4" x14ac:dyDescent="0.35">
      <c r="B12" s="1" t="s">
        <v>12</v>
      </c>
    </row>
  </sheetData>
  <dataValidations count="1">
    <dataValidation type="list" allowBlank="1" showInputMessage="1" showErrorMessage="1" sqref="C4:C9" xr:uid="{1C6AC4BF-B08A-4B68-BF23-99608CD38BA4}">
      <formula1>Lista_värden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E4284-C629-46CD-8D66-BD37F9CD47CB}">
  <dimension ref="A1:A8"/>
  <sheetViews>
    <sheetView workbookViewId="0"/>
  </sheetViews>
  <sheetFormatPr defaultRowHeight="14.5" x14ac:dyDescent="0.35"/>
  <cols>
    <col min="1" max="1" width="10.90625" bestFit="1" customWidth="1"/>
  </cols>
  <sheetData>
    <row r="1" spans="1:1" x14ac:dyDescent="0.35">
      <c r="A1" s="1" t="s">
        <v>1</v>
      </c>
    </row>
    <row r="2" spans="1:1" x14ac:dyDescent="0.35">
      <c r="A2">
        <v>1</v>
      </c>
    </row>
    <row r="3" spans="1:1" x14ac:dyDescent="0.35">
      <c r="A3">
        <v>2</v>
      </c>
    </row>
    <row r="4" spans="1:1" x14ac:dyDescent="0.35">
      <c r="A4">
        <v>3</v>
      </c>
    </row>
    <row r="5" spans="1:1" x14ac:dyDescent="0.35">
      <c r="A5">
        <v>4</v>
      </c>
    </row>
    <row r="6" spans="1:1" x14ac:dyDescent="0.35">
      <c r="A6">
        <v>5</v>
      </c>
    </row>
    <row r="7" spans="1:1" x14ac:dyDescent="0.35">
      <c r="A7">
        <v>6</v>
      </c>
    </row>
    <row r="8" spans="1:1" x14ac:dyDescent="0.35">
      <c r="A8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1</vt:i4>
      </vt:variant>
    </vt:vector>
  </HeadingPairs>
  <TitlesOfParts>
    <vt:vector size="3" baseType="lpstr">
      <vt:lpstr>Blad1</vt:lpstr>
      <vt:lpstr>Data</vt:lpstr>
      <vt:lpstr>Lista_värden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Joakim Hasselblad</dc:creator>
  <cp:lastModifiedBy>Joakim Hasselblad</cp:lastModifiedBy>
  <dcterms:created xsi:type="dcterms:W3CDTF">2024-05-20T18:04:13Z</dcterms:created>
  <dcterms:modified xsi:type="dcterms:W3CDTF">2024-09-09T06:30:13Z</dcterms:modified>
</cp:coreProperties>
</file>